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04EA6C1C-7684-4EC4-9751-6D197A60798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프로젝트 시간 표시 막대" sheetId="1" r:id="rId1"/>
  </sheets>
  <definedNames>
    <definedName name="_xlnm.Print_Titles" localSheetId="0">'프로젝트 시간 표시 막대'!$4:$6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6" i="1" l="1"/>
  <c r="C4" i="1" s="1"/>
  <c r="D6" i="1" l="1"/>
  <c r="D4" i="1" s="1"/>
  <c r="C5" i="1"/>
  <c r="E6" i="1" l="1"/>
  <c r="E4" i="1" s="1"/>
  <c r="D5" i="1"/>
  <c r="E5" i="1" l="1"/>
  <c r="F6" i="1"/>
  <c r="F4" i="1" s="1"/>
  <c r="F5" i="1" l="1"/>
  <c r="G6" i="1"/>
  <c r="G4" i="1" s="1"/>
  <c r="G5" i="1" l="1"/>
  <c r="H6" i="1"/>
  <c r="H4" i="1" s="1"/>
  <c r="H5" i="1" l="1"/>
  <c r="I6" i="1"/>
  <c r="I4" i="1" s="1"/>
  <c r="I5" i="1" l="1"/>
  <c r="J6" i="1"/>
  <c r="J4" i="1" s="1"/>
  <c r="J5" i="1" l="1"/>
  <c r="K6" i="1"/>
  <c r="K4" i="1" s="1"/>
  <c r="K5" i="1" l="1"/>
  <c r="L6" i="1"/>
  <c r="L4" i="1" s="1"/>
  <c r="M6" i="1" l="1"/>
  <c r="M4" i="1" s="1"/>
  <c r="L5" i="1"/>
  <c r="M5" i="1" l="1"/>
  <c r="N6" i="1"/>
  <c r="N4" i="1" s="1"/>
  <c r="O6" i="1" l="1"/>
  <c r="O4" i="1" s="1"/>
  <c r="N5" i="1"/>
  <c r="O5" i="1" l="1"/>
  <c r="P6" i="1"/>
  <c r="P4" i="1" s="1"/>
  <c r="Q6" i="1" l="1"/>
  <c r="Q4" i="1" s="1"/>
  <c r="P5" i="1"/>
  <c r="Q5" i="1" l="1"/>
  <c r="R6" i="1"/>
  <c r="R4" i="1" s="1"/>
  <c r="R5" i="1" l="1"/>
  <c r="S6" i="1"/>
  <c r="S4" i="1" s="1"/>
  <c r="S5" i="1" l="1"/>
  <c r="T6" i="1"/>
  <c r="T4" i="1" s="1"/>
  <c r="T5" i="1" l="1"/>
  <c r="U6" i="1"/>
  <c r="U4" i="1" s="1"/>
  <c r="U5" i="1" l="1"/>
  <c r="V6" i="1"/>
  <c r="V4" i="1" s="1"/>
  <c r="V5" i="1" l="1"/>
  <c r="W6" i="1"/>
  <c r="W4" i="1" s="1"/>
  <c r="W5" i="1" l="1"/>
  <c r="X6" i="1"/>
  <c r="X4" i="1" s="1"/>
  <c r="X5" i="1" l="1"/>
  <c r="Y6" i="1"/>
  <c r="Y4" i="1" s="1"/>
  <c r="Y5" i="1" l="1"/>
  <c r="Z6" i="1"/>
  <c r="Z4" i="1" s="1"/>
  <c r="AA6" i="1" l="1"/>
  <c r="AA4" i="1" s="1"/>
  <c r="Z5" i="1"/>
  <c r="AA5" i="1" l="1"/>
  <c r="AB6" i="1"/>
  <c r="AB4" i="1" s="1"/>
  <c r="AC6" i="1" l="1"/>
  <c r="AB5" i="1"/>
  <c r="AC4" i="1" l="1"/>
  <c r="AD6" i="1"/>
  <c r="C10" i="1" s="1"/>
  <c r="AC5" i="1"/>
  <c r="C9" i="1" l="1"/>
  <c r="C8" i="1"/>
  <c r="D10" i="1"/>
  <c r="AD4" i="1"/>
  <c r="AD5" i="1"/>
  <c r="D8" i="1" l="1"/>
  <c r="D9" i="1"/>
  <c r="E10" i="1"/>
  <c r="E9" i="1" l="1"/>
  <c r="E8" i="1"/>
  <c r="F10" i="1"/>
  <c r="F9" i="1" l="1"/>
  <c r="G10" i="1"/>
  <c r="F8" i="1"/>
  <c r="H10" i="1" l="1"/>
  <c r="G8" i="1"/>
  <c r="G9" i="1"/>
  <c r="H9" i="1" l="1"/>
  <c r="I10" i="1"/>
  <c r="H8" i="1"/>
  <c r="I8" i="1" l="1"/>
  <c r="J10" i="1"/>
  <c r="I9" i="1"/>
  <c r="K10" i="1" l="1"/>
  <c r="J9" i="1"/>
  <c r="J8" i="1"/>
  <c r="L10" i="1" l="1"/>
  <c r="K8" i="1"/>
  <c r="K9" i="1"/>
  <c r="M10" i="1" l="1"/>
  <c r="L8" i="1"/>
  <c r="L9" i="1"/>
  <c r="N10" i="1" l="1"/>
  <c r="M9" i="1"/>
  <c r="M8" i="1"/>
  <c r="N8" i="1" l="1"/>
  <c r="N9" i="1"/>
  <c r="O10" i="1"/>
  <c r="O9" i="1" l="1"/>
  <c r="P10" i="1"/>
  <c r="O8" i="1"/>
  <c r="P8" i="1" l="1"/>
  <c r="P9" i="1"/>
  <c r="Q10" i="1"/>
  <c r="Q9" i="1" l="1"/>
  <c r="Q8" i="1"/>
  <c r="R10" i="1"/>
  <c r="R9" i="1" l="1"/>
  <c r="S10" i="1"/>
  <c r="R8" i="1"/>
  <c r="T10" i="1" l="1"/>
  <c r="S9" i="1"/>
  <c r="S8" i="1"/>
  <c r="T8" i="1" l="1"/>
  <c r="T9" i="1"/>
  <c r="U10" i="1"/>
  <c r="U9" i="1" l="1"/>
  <c r="U8" i="1"/>
  <c r="V10" i="1"/>
  <c r="W10" i="1" l="1"/>
  <c r="V8" i="1"/>
  <c r="V9" i="1"/>
  <c r="X10" i="1" l="1"/>
  <c r="W8" i="1"/>
  <c r="W9" i="1"/>
  <c r="Y10" i="1" l="1"/>
  <c r="X8" i="1"/>
  <c r="X9" i="1"/>
  <c r="Y9" i="1" l="1"/>
  <c r="Z10" i="1"/>
  <c r="Y8" i="1"/>
  <c r="Z9" i="1" l="1"/>
  <c r="Z8" i="1"/>
  <c r="AA10" i="1"/>
  <c r="AA9" i="1" l="1"/>
  <c r="AA8" i="1"/>
  <c r="AB10" i="1"/>
  <c r="AC10" i="1" l="1"/>
  <c r="AB8" i="1"/>
  <c r="AB9" i="1"/>
  <c r="AC9" i="1" l="1"/>
  <c r="AD10" i="1"/>
  <c r="AC8" i="1"/>
  <c r="C14" i="1" l="1"/>
  <c r="AD8" i="1"/>
  <c r="AD9" i="1"/>
  <c r="D14" i="1" l="1"/>
  <c r="C12" i="1"/>
  <c r="C13" i="1"/>
  <c r="D12" i="1" l="1"/>
  <c r="E14" i="1"/>
  <c r="D13" i="1"/>
  <c r="E13" i="1" l="1"/>
  <c r="E12" i="1"/>
  <c r="F14" i="1"/>
  <c r="F12" i="1" l="1"/>
  <c r="G14" i="1"/>
  <c r="F13" i="1"/>
  <c r="H14" i="1" l="1"/>
  <c r="G12" i="1"/>
  <c r="G13" i="1"/>
  <c r="H12" i="1" l="1"/>
  <c r="I14" i="1"/>
  <c r="H13" i="1"/>
  <c r="I12" i="1" l="1"/>
  <c r="J14" i="1"/>
  <c r="I13" i="1"/>
  <c r="K14" i="1" l="1"/>
  <c r="J13" i="1"/>
  <c r="J12" i="1"/>
  <c r="L14" i="1" l="1"/>
  <c r="K13" i="1"/>
  <c r="K12" i="1"/>
  <c r="M14" i="1" l="1"/>
  <c r="L13" i="1"/>
  <c r="L12" i="1"/>
  <c r="M13" i="1" l="1"/>
  <c r="N14" i="1"/>
  <c r="M12" i="1"/>
  <c r="N13" i="1" l="1"/>
  <c r="O14" i="1"/>
  <c r="N12" i="1"/>
  <c r="O13" i="1" l="1"/>
  <c r="P14" i="1"/>
  <c r="O12" i="1"/>
  <c r="P13" i="1" l="1"/>
  <c r="Q14" i="1"/>
  <c r="P12" i="1"/>
  <c r="Q13" i="1" l="1"/>
  <c r="Q12" i="1"/>
  <c r="R14" i="1"/>
  <c r="R12" i="1" l="1"/>
  <c r="R13" i="1"/>
  <c r="S14" i="1"/>
  <c r="S12" i="1" l="1"/>
  <c r="S13" i="1"/>
  <c r="T14" i="1"/>
  <c r="U14" i="1" l="1"/>
  <c r="T12" i="1"/>
  <c r="T13" i="1"/>
  <c r="U12" i="1" l="1"/>
  <c r="V14" i="1"/>
  <c r="U13" i="1"/>
  <c r="W14" i="1" l="1"/>
  <c r="V12" i="1"/>
  <c r="V13" i="1"/>
  <c r="X14" i="1" l="1"/>
  <c r="W13" i="1"/>
  <c r="W12" i="1"/>
  <c r="Y14" i="1" l="1"/>
  <c r="X13" i="1"/>
  <c r="X12" i="1"/>
  <c r="Y13" i="1" l="1"/>
  <c r="Y12" i="1"/>
  <c r="Z14" i="1"/>
  <c r="Z12" i="1" l="1"/>
  <c r="Z13" i="1"/>
  <c r="AA14" i="1"/>
  <c r="AA13" i="1" l="1"/>
  <c r="AA12" i="1"/>
  <c r="AB14" i="1"/>
  <c r="AB13" i="1" l="1"/>
  <c r="AB12" i="1"/>
  <c r="AC14" i="1"/>
  <c r="AC12" i="1" l="1"/>
  <c r="AD14" i="1"/>
  <c r="AC13" i="1"/>
  <c r="C18" i="1" l="1"/>
  <c r="AD13" i="1"/>
  <c r="AD12" i="1"/>
  <c r="C17" i="1" l="1"/>
  <c r="D18" i="1"/>
  <c r="C16" i="1"/>
  <c r="D17" i="1" l="1"/>
  <c r="D16" i="1"/>
  <c r="E18" i="1"/>
  <c r="E16" i="1" l="1"/>
  <c r="E17" i="1"/>
  <c r="F18" i="1"/>
  <c r="F16" i="1" l="1"/>
  <c r="F17" i="1"/>
  <c r="G18" i="1"/>
  <c r="G17" i="1" l="1"/>
  <c r="H18" i="1"/>
  <c r="G16" i="1"/>
  <c r="I18" i="1" l="1"/>
  <c r="H17" i="1"/>
  <c r="H16" i="1"/>
  <c r="I16" i="1" l="1"/>
  <c r="J18" i="1"/>
  <c r="I17" i="1"/>
  <c r="K18" i="1" l="1"/>
  <c r="J16" i="1"/>
  <c r="J17" i="1"/>
  <c r="K16" i="1" l="1"/>
  <c r="K17" i="1"/>
  <c r="L18" i="1"/>
  <c r="M18" i="1" l="1"/>
  <c r="L17" i="1"/>
  <c r="L16" i="1"/>
  <c r="M17" i="1" l="1"/>
  <c r="N18" i="1"/>
  <c r="M16" i="1"/>
  <c r="O18" i="1" l="1"/>
  <c r="N17" i="1"/>
  <c r="N16" i="1"/>
  <c r="O17" i="1" l="1"/>
  <c r="P18" i="1"/>
  <c r="O16" i="1"/>
  <c r="P16" i="1" l="1"/>
  <c r="P17" i="1"/>
  <c r="Q18" i="1"/>
  <c r="R18" i="1" l="1"/>
  <c r="Q16" i="1"/>
  <c r="Q17" i="1"/>
  <c r="S18" i="1" l="1"/>
  <c r="R17" i="1"/>
  <c r="R16" i="1"/>
  <c r="S16" i="1" l="1"/>
  <c r="S17" i="1"/>
  <c r="T18" i="1"/>
  <c r="T16" i="1" l="1"/>
  <c r="T17" i="1"/>
  <c r="U18" i="1"/>
  <c r="V18" i="1" l="1"/>
  <c r="U17" i="1"/>
  <c r="U16" i="1"/>
  <c r="V17" i="1" l="1"/>
  <c r="V16" i="1"/>
  <c r="W18" i="1"/>
  <c r="X18" i="1" l="1"/>
  <c r="W17" i="1"/>
  <c r="W16" i="1"/>
  <c r="X17" i="1" l="1"/>
  <c r="X16" i="1"/>
  <c r="Y18" i="1"/>
  <c r="Y17" i="1" l="1"/>
  <c r="Z18" i="1"/>
  <c r="Y16" i="1"/>
  <c r="Z16" i="1" l="1"/>
  <c r="AA18" i="1"/>
  <c r="Z17" i="1"/>
  <c r="AA17" i="1" l="1"/>
  <c r="AB18" i="1"/>
  <c r="AA16" i="1"/>
  <c r="AB17" i="1" l="1"/>
  <c r="AC18" i="1"/>
  <c r="AB16" i="1"/>
  <c r="AC17" i="1" l="1"/>
  <c r="AC16" i="1"/>
  <c r="AD18" i="1"/>
  <c r="C22" i="1" l="1"/>
  <c r="AD16" i="1"/>
  <c r="AD17" i="1"/>
  <c r="D22" i="1" l="1"/>
  <c r="C20" i="1"/>
  <c r="C21" i="1"/>
  <c r="D21" i="1" l="1"/>
  <c r="E22" i="1"/>
  <c r="D20" i="1"/>
  <c r="E21" i="1" l="1"/>
  <c r="F22" i="1"/>
  <c r="E20" i="1"/>
  <c r="F20" i="1" l="1"/>
  <c r="G22" i="1"/>
  <c r="F21" i="1"/>
  <c r="G20" i="1" l="1"/>
  <c r="H22" i="1"/>
  <c r="G21" i="1"/>
  <c r="I22" i="1" l="1"/>
  <c r="H20" i="1"/>
  <c r="H21" i="1"/>
  <c r="I20" i="1" l="1"/>
  <c r="I21" i="1"/>
  <c r="J22" i="1"/>
  <c r="K22" i="1" l="1"/>
  <c r="J21" i="1"/>
  <c r="J20" i="1"/>
  <c r="L22" i="1" l="1"/>
  <c r="K20" i="1"/>
  <c r="K21" i="1"/>
  <c r="L20" i="1" l="1"/>
  <c r="M22" i="1"/>
  <c r="L21" i="1"/>
  <c r="N22" i="1" l="1"/>
  <c r="M21" i="1"/>
  <c r="M20" i="1"/>
  <c r="N21" i="1" l="1"/>
  <c r="N20" i="1"/>
  <c r="O22" i="1"/>
  <c r="O20" i="1" l="1"/>
  <c r="O21" i="1"/>
  <c r="P22" i="1"/>
  <c r="P20" i="1" l="1"/>
  <c r="Q22" i="1"/>
  <c r="P21" i="1"/>
  <c r="Q21" i="1" l="1"/>
  <c r="Q20" i="1"/>
  <c r="R22" i="1"/>
  <c r="R20" i="1" l="1"/>
  <c r="S22" i="1"/>
  <c r="R21" i="1"/>
  <c r="S21" i="1" l="1"/>
  <c r="T22" i="1"/>
  <c r="S20" i="1"/>
  <c r="T20" i="1" l="1"/>
  <c r="T21" i="1"/>
  <c r="U22" i="1"/>
  <c r="V22" i="1" l="1"/>
  <c r="U20" i="1"/>
  <c r="U21" i="1"/>
  <c r="W22" i="1" l="1"/>
  <c r="V20" i="1"/>
  <c r="V21" i="1"/>
  <c r="X22" i="1" l="1"/>
  <c r="W20" i="1"/>
  <c r="W21" i="1"/>
  <c r="X20" i="1" l="1"/>
  <c r="X21" i="1"/>
  <c r="Y22" i="1"/>
  <c r="Z22" i="1" l="1"/>
  <c r="Y20" i="1"/>
  <c r="Y21" i="1"/>
  <c r="AA22" i="1" l="1"/>
  <c r="Z21" i="1"/>
  <c r="Z20" i="1"/>
  <c r="AA20" i="1" l="1"/>
  <c r="AB22" i="1"/>
  <c r="AA21" i="1"/>
  <c r="AB21" i="1" l="1"/>
  <c r="AC22" i="1"/>
  <c r="AB20" i="1"/>
  <c r="AD22" i="1" l="1"/>
  <c r="AC21" i="1"/>
  <c r="AC20" i="1"/>
  <c r="AD21" i="1" l="1"/>
  <c r="AD20" i="1"/>
</calcChain>
</file>

<file path=xl/sharedStrings.xml><?xml version="1.0" encoding="utf-8"?>
<sst xmlns="http://schemas.openxmlformats.org/spreadsheetml/2006/main" count="15" uniqueCount="15">
  <si>
    <t xml:space="preserve"> 시작 날짜:</t>
  </si>
  <si>
    <t>졸업작품 제안서 발표 계획서</t>
    <phoneticPr fontId="20" type="noConversion"/>
  </si>
  <si>
    <t>2학기 과목 수강 및 배운 내용 복습</t>
    <phoneticPr fontId="20" type="noConversion"/>
  </si>
  <si>
    <t>담당자:</t>
    <phoneticPr fontId="20" type="noConversion"/>
  </si>
  <si>
    <t>중점연구분야 조사</t>
    <phoneticPr fontId="20" type="noConversion"/>
  </si>
  <si>
    <t>포톤 서버 개념 조사</t>
    <phoneticPr fontId="20" type="noConversion"/>
  </si>
  <si>
    <t>피격, 임무 완료 등 이벤트 동기화 및 예외처리</t>
    <phoneticPr fontId="20" type="noConversion"/>
  </si>
  <si>
    <t>탱크 이외의 오브젝트 위치 동기화</t>
    <phoneticPr fontId="20" type="noConversion"/>
  </si>
  <si>
    <t>Tcp/Ip 소켓 개념 정리</t>
    <phoneticPr fontId="20" type="noConversion"/>
  </si>
  <si>
    <t>포톤 서버 이용해서 호스트가 방 생성</t>
    <phoneticPr fontId="20" type="noConversion"/>
  </si>
  <si>
    <t>호스트와 게스트 2명 총 3명의 위치 동기화</t>
    <phoneticPr fontId="20" type="noConversion"/>
  </si>
  <si>
    <t>호스트와 게스트가 전송해야 할 데이터 정리</t>
    <phoneticPr fontId="20" type="noConversion"/>
  </si>
  <si>
    <t>tcp, udp 중 프로토콜 결정</t>
    <phoneticPr fontId="20" type="noConversion"/>
  </si>
  <si>
    <t>탱크 내부 오브젝트 상태 동기화</t>
    <phoneticPr fontId="20" type="noConversion"/>
  </si>
  <si>
    <t>탱크 외각 움직임 동기화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</si>
</sst>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m&quot;월&quot;"/>
  </numFmts>
  <fonts count="25"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4"/>
      <color theme="1" tint="0.499984740745262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 tint="4.9989318521683403E-2"/>
      <name val="Malgun Gothic"/>
      <family val="2"/>
    </font>
    <font>
      <sz val="12"/>
      <color theme="1" tint="4.9989318521683403E-2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31"/>
      <color theme="9" tint="-0.24994659260841701"/>
      <name val="Malgun Gothic"/>
      <family val="2"/>
    </font>
    <font>
      <sz val="18"/>
      <color theme="1" tint="4.9989318521683403E-2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  <font>
      <sz val="11"/>
      <color theme="1" tint="0.24994659260841701"/>
      <name val="Malgun Gothic"/>
      <family val="3"/>
      <charset val="129"/>
    </font>
    <font>
      <sz val="14"/>
      <color theme="1" tint="0.499984740745262"/>
      <name val="Malgun Gothic"/>
      <family val="3"/>
      <charset val="129"/>
    </font>
    <font>
      <sz val="12"/>
      <color theme="1" tint="4.9989318521683403E-2"/>
      <name val="Malgun Gothic"/>
      <family val="3"/>
      <charset val="129"/>
    </font>
    <font>
      <sz val="11"/>
      <color theme="1" tint="4.9989318521683403E-2"/>
      <name val="Malgun Gothic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0"/>
      </top>
      <bottom style="thin">
        <color theme="0" tint="-0.14996795556505021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7" borderId="0" applyNumberFormat="0" applyAlignment="0" applyProtection="0"/>
    <xf numFmtId="0" fontId="9" fillId="8" borderId="0" applyNumberFormat="0" applyAlignment="0" applyProtection="0"/>
    <xf numFmtId="0" fontId="3" fillId="2" borderId="4" applyNumberFormat="0" applyProtection="0">
      <alignment horizontal="right" wrapText="1" indent="1"/>
    </xf>
    <xf numFmtId="14" fontId="2" fillId="0" borderId="1" applyFill="0">
      <alignment horizontal="center"/>
    </xf>
    <xf numFmtId="0" fontId="4" fillId="0" borderId="0" applyBorder="0">
      <alignment horizontal="left" vertical="center"/>
    </xf>
    <xf numFmtId="178" fontId="4" fillId="0" borderId="3">
      <alignment horizontal="left" vertical="center"/>
    </xf>
    <xf numFmtId="0" fontId="5" fillId="0" borderId="0">
      <alignment horizontal="left" vertical="center"/>
    </xf>
    <xf numFmtId="0" fontId="3" fillId="2" borderId="4">
      <alignment horizontal="left" wrapText="1" indent="1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18" fillId="11" borderId="0" applyNumberFormat="0" applyBorder="0" applyAlignment="0" applyProtection="0"/>
    <xf numFmtId="0" fontId="16" fillId="12" borderId="5" applyNumberFormat="0" applyAlignment="0" applyProtection="0"/>
    <xf numFmtId="0" fontId="17" fillId="13" borderId="6" applyNumberFormat="0" applyAlignment="0" applyProtection="0"/>
    <xf numFmtId="0" fontId="15" fillId="13" borderId="5" applyNumberFormat="0" applyAlignment="0" applyProtection="0"/>
    <xf numFmtId="0" fontId="19" fillId="0" borderId="7" applyNumberFormat="0" applyFill="0" applyAlignment="0" applyProtection="0"/>
    <xf numFmtId="0" fontId="10" fillId="14" borderId="8" applyNumberFormat="0" applyAlignment="0" applyProtection="0"/>
    <xf numFmtId="0" fontId="14" fillId="0" borderId="0" applyNumberFormat="0" applyFill="0" applyBorder="0" applyAlignment="0" applyProtection="0"/>
    <xf numFmtId="0" fontId="3" fillId="15" borderId="9" applyNumberFormat="0" applyFont="0" applyAlignment="0" applyProtection="0"/>
    <xf numFmtId="0" fontId="13" fillId="0" borderId="0" applyNumberFormat="0" applyFill="0" applyBorder="0" applyAlignment="0" applyProtection="0"/>
    <xf numFmtId="0" fontId="11" fillId="0" borderId="10" applyNumberFormat="0" applyFill="0" applyAlignment="0" applyProtection="0"/>
    <xf numFmtId="0" fontId="1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</cellStyleXfs>
  <cellXfs count="28">
    <xf numFmtId="0" fontId="0" fillId="0" borderId="0" xfId="0">
      <alignment vertical="center" wrapText="1"/>
    </xf>
    <xf numFmtId="0" fontId="21" fillId="0" borderId="0" xfId="0" applyFont="1">
      <alignment vertical="center" wrapText="1"/>
    </xf>
    <xf numFmtId="0" fontId="22" fillId="0" borderId="0" xfId="2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179" fontId="23" fillId="3" borderId="0" xfId="9" applyNumberFormat="1" applyFont="1" applyFill="1">
      <alignment horizontal="left" vertical="center"/>
    </xf>
    <xf numFmtId="0" fontId="23" fillId="3" borderId="0" xfId="9" applyFont="1" applyFill="1">
      <alignment horizontal="left" vertical="center"/>
    </xf>
    <xf numFmtId="0" fontId="23" fillId="4" borderId="0" xfId="9" applyFont="1" applyFill="1">
      <alignment horizontal="left" vertical="center"/>
    </xf>
    <xf numFmtId="0" fontId="24" fillId="3" borderId="0" xfId="7" applyFont="1" applyFill="1">
      <alignment horizontal="left" vertical="center"/>
    </xf>
    <xf numFmtId="0" fontId="24" fillId="4" borderId="0" xfId="7" applyFont="1" applyFill="1">
      <alignment horizontal="left" vertical="center"/>
    </xf>
    <xf numFmtId="178" fontId="24" fillId="3" borderId="3" xfId="8" applyFont="1" applyFill="1">
      <alignment horizontal="left" vertical="center"/>
    </xf>
    <xf numFmtId="178" fontId="24" fillId="4" borderId="3" xfId="8" applyFont="1" applyFill="1">
      <alignment horizontal="left" vertical="center"/>
    </xf>
    <xf numFmtId="0" fontId="21" fillId="2" borderId="4" xfId="5" applyFont="1">
      <alignment horizontal="right" wrapText="1" indent="1"/>
    </xf>
    <xf numFmtId="0" fontId="21" fillId="2" borderId="3" xfId="0" applyFont="1" applyFill="1" applyBorder="1" applyAlignment="1">
      <alignment horizontal="center" vertical="center"/>
    </xf>
    <xf numFmtId="0" fontId="8" fillId="0" borderId="0" xfId="1" applyAlignment="1">
      <alignment horizontal="left" indent="1"/>
    </xf>
    <xf numFmtId="14" fontId="22" fillId="0" borderId="1" xfId="6" applyFont="1">
      <alignment horizontal="center"/>
    </xf>
    <xf numFmtId="0" fontId="0" fillId="0" borderId="11" xfId="0" applyBorder="1" applyAlignment="1">
      <alignment horizontal="center" vertical="center" wrapText="1"/>
    </xf>
    <xf numFmtId="0" fontId="21" fillId="44" borderId="11" xfId="0" applyFont="1" applyFill="1" applyBorder="1" applyAlignment="1">
      <alignment horizontal="center" vertical="center"/>
    </xf>
    <xf numFmtId="0" fontId="21" fillId="41" borderId="1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0" fontId="21" fillId="43" borderId="1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47" borderId="11" xfId="0" applyFont="1" applyFill="1" applyBorder="1" applyAlignment="1">
      <alignment horizontal="center" vertical="center"/>
    </xf>
    <xf numFmtId="0" fontId="21" fillId="46" borderId="11" xfId="0" applyFont="1" applyFill="1" applyBorder="1" applyAlignment="1">
      <alignment horizontal="center" vertical="center"/>
    </xf>
    <xf numFmtId="0" fontId="21" fillId="40" borderId="11" xfId="0" applyFont="1" applyFill="1" applyBorder="1" applyAlignment="1">
      <alignment horizontal="center" vertical="center"/>
    </xf>
    <xf numFmtId="0" fontId="21" fillId="42" borderId="11" xfId="0" applyFont="1" applyFill="1" applyBorder="1" applyAlignment="1">
      <alignment horizontal="center" vertical="center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날짜" xfId="6" xr:uid="{00000000-0005-0000-0000-00001B000000}"/>
    <cellStyle name="메모" xfId="25" builtinId="10" customBuiltin="1"/>
    <cellStyle name="백분율" xfId="15" builtinId="5" customBuiltin="1"/>
    <cellStyle name="보통" xfId="18" builtinId="28" customBuiltin="1"/>
    <cellStyle name="상태" xfId="10" xr:uid="{00000000-0005-0000-0000-00001F000000}"/>
    <cellStyle name="설명 텍스트" xfId="26" builtinId="53" customBuiltin="1"/>
    <cellStyle name="셀 확인" xfId="23" builtinId="23" customBuiltin="1"/>
    <cellStyle name="쉼표" xfId="11" builtinId="3" customBuiltin="1"/>
    <cellStyle name="쉼표 [0]" xfId="12" builtinId="6" customBuiltin="1"/>
    <cellStyle name="연결된 셀" xfId="22" builtinId="24" customBuiltin="1"/>
    <cellStyle name="요약" xfId="27" builtinId="25" customBuiltin="1"/>
    <cellStyle name="요일" xfId="8" xr:uid="{00000000-0005-0000-0000-000026000000}"/>
    <cellStyle name="월" xfId="9" xr:uid="{00000000-0005-0000-0000-000027000000}"/>
    <cellStyle name="입력" xfId="1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16" builtinId="26" customBuiltin="1"/>
    <cellStyle name="출력" xfId="20" builtinId="21" customBuiltin="1"/>
    <cellStyle name="통화" xfId="13" builtinId="4" customBuiltin="1"/>
    <cellStyle name="통화 [0]" xfId="14" builtinId="7" customBuiltin="1"/>
    <cellStyle name="평일" xfId="7" xr:uid="{00000000-0005-0000-0000-000032000000}"/>
    <cellStyle name="표준" xfId="0" builtinId="0" customBuiltin="1"/>
  </cellStyles>
  <dxfs count="5"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C4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D22"/>
  <sheetViews>
    <sheetView showGridLines="0" tabSelected="1" topLeftCell="A4" zoomScaleNormal="100" workbookViewId="0">
      <selection activeCell="Q15" sqref="Q15:W15"/>
    </sheetView>
  </sheetViews>
  <sheetFormatPr defaultColWidth="9" defaultRowHeight="30" customHeight="1"/>
  <cols>
    <col min="1" max="1" width="2.58203125" style="1" customWidth="1"/>
    <col min="2" max="2" width="13.58203125" style="4" customWidth="1"/>
    <col min="3" max="17" width="5.58203125" style="3" customWidth="1"/>
    <col min="18" max="30" width="5.58203125" style="1" customWidth="1"/>
    <col min="31" max="16384" width="9" style="1"/>
  </cols>
  <sheetData>
    <row r="1" spans="2:30" ht="48.75" customHeight="1">
      <c r="B1" s="15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2:30" ht="24.75" customHeight="1" thickBot="1">
      <c r="B2" s="2" t="s">
        <v>0</v>
      </c>
      <c r="C2" s="16">
        <f>DATEVALUE("2026/09/01")</f>
        <v>46266</v>
      </c>
      <c r="D2" s="16"/>
      <c r="E2" s="16"/>
    </row>
    <row r="3" spans="2:30" ht="12.75" customHeight="1"/>
    <row r="4" spans="2:30" ht="18.75" customHeight="1">
      <c r="B4" s="5"/>
      <c r="C4" s="6" t="str">
        <f>LOWER(TEXT(C6, "m월"))</f>
        <v>9월</v>
      </c>
      <c r="D4" s="7" t="str">
        <f t="shared" ref="D4:I4" si="0">IF(TEXT(D6,"m월")=TEXT(C6,"m월"),"",LOWER(TEXT(D6,"m월")))</f>
        <v/>
      </c>
      <c r="E4" s="7" t="str">
        <f t="shared" si="0"/>
        <v/>
      </c>
      <c r="F4" s="7" t="str">
        <f t="shared" si="0"/>
        <v/>
      </c>
      <c r="G4" s="7" t="str">
        <f t="shared" si="0"/>
        <v/>
      </c>
      <c r="H4" s="7" t="str">
        <f t="shared" si="0"/>
        <v/>
      </c>
      <c r="I4" s="7" t="str">
        <f t="shared" si="0"/>
        <v/>
      </c>
      <c r="J4" s="8" t="str">
        <f>LOWER(TEXT(J6,"m월"))</f>
        <v>9월</v>
      </c>
      <c r="K4" s="8" t="str">
        <f t="shared" ref="K4:P4" si="1">IF(TEXT(K6,"m월")=TEXT(J6,"m월"),"",LOWER(TEXT(K6,"m월")))</f>
        <v/>
      </c>
      <c r="L4" s="8" t="str">
        <f t="shared" si="1"/>
        <v/>
      </c>
      <c r="M4" s="8" t="str">
        <f t="shared" si="1"/>
        <v/>
      </c>
      <c r="N4" s="8" t="str">
        <f t="shared" si="1"/>
        <v/>
      </c>
      <c r="O4" s="8" t="str">
        <f t="shared" si="1"/>
        <v/>
      </c>
      <c r="P4" s="8" t="str">
        <f t="shared" si="1"/>
        <v/>
      </c>
      <c r="Q4" s="7" t="str">
        <f>LOWER(TEXT(Q6,"m월"))</f>
        <v>9월</v>
      </c>
      <c r="R4" s="7" t="str">
        <f t="shared" ref="R4:W4" si="2">IF(TEXT(R6,"m월")=TEXT(Q6,"m월"),"",LOWER(TEXT(R6,"m월")))</f>
        <v/>
      </c>
      <c r="S4" s="7" t="str">
        <f t="shared" si="2"/>
        <v/>
      </c>
      <c r="T4" s="7" t="str">
        <f t="shared" si="2"/>
        <v/>
      </c>
      <c r="U4" s="7" t="str">
        <f t="shared" si="2"/>
        <v/>
      </c>
      <c r="V4" s="7" t="str">
        <f t="shared" si="2"/>
        <v/>
      </c>
      <c r="W4" s="7" t="str">
        <f t="shared" si="2"/>
        <v/>
      </c>
      <c r="X4" s="8" t="str">
        <f>LOWER(TEXT(X6,"m월"))</f>
        <v>9월</v>
      </c>
      <c r="Y4" s="8" t="str">
        <f t="shared" ref="Y4:AD4" si="3">IF(TEXT(Y6,"m월")=TEXT(X6,"m월"),"",LOWER(TEXT(Y6,"m월")))</f>
        <v/>
      </c>
      <c r="Z4" s="8" t="str">
        <f t="shared" si="3"/>
        <v/>
      </c>
      <c r="AA4" s="8" t="str">
        <f t="shared" si="3"/>
        <v/>
      </c>
      <c r="AB4" s="8" t="str">
        <f t="shared" si="3"/>
        <v/>
      </c>
      <c r="AC4" s="8" t="str">
        <f t="shared" si="3"/>
        <v/>
      </c>
      <c r="AD4" s="8" t="str">
        <f t="shared" si="3"/>
        <v/>
      </c>
    </row>
    <row r="5" spans="2:30" ht="12" customHeight="1">
      <c r="B5" s="5"/>
      <c r="C5" s="9" t="str">
        <f>LOWER(TEXT(C6,"aaa"))</f>
        <v>화</v>
      </c>
      <c r="D5" s="9" t="str">
        <f t="shared" ref="D5:AD5" si="4">LOWER(TEXT(D6,"aaa"))</f>
        <v>수</v>
      </c>
      <c r="E5" s="9" t="str">
        <f t="shared" si="4"/>
        <v>목</v>
      </c>
      <c r="F5" s="9" t="str">
        <f t="shared" si="4"/>
        <v>금</v>
      </c>
      <c r="G5" s="9" t="str">
        <f t="shared" si="4"/>
        <v>토</v>
      </c>
      <c r="H5" s="9" t="str">
        <f t="shared" si="4"/>
        <v>일</v>
      </c>
      <c r="I5" s="9" t="str">
        <f t="shared" si="4"/>
        <v>월</v>
      </c>
      <c r="J5" s="10" t="str">
        <f t="shared" si="4"/>
        <v>화</v>
      </c>
      <c r="K5" s="10" t="str">
        <f t="shared" si="4"/>
        <v>수</v>
      </c>
      <c r="L5" s="10" t="str">
        <f t="shared" si="4"/>
        <v>목</v>
      </c>
      <c r="M5" s="10" t="str">
        <f t="shared" si="4"/>
        <v>금</v>
      </c>
      <c r="N5" s="10" t="str">
        <f t="shared" si="4"/>
        <v>토</v>
      </c>
      <c r="O5" s="10" t="str">
        <f t="shared" si="4"/>
        <v>일</v>
      </c>
      <c r="P5" s="10" t="str">
        <f t="shared" si="4"/>
        <v>월</v>
      </c>
      <c r="Q5" s="9" t="str">
        <f t="shared" si="4"/>
        <v>화</v>
      </c>
      <c r="R5" s="9" t="str">
        <f t="shared" si="4"/>
        <v>수</v>
      </c>
      <c r="S5" s="9" t="str">
        <f t="shared" si="4"/>
        <v>목</v>
      </c>
      <c r="T5" s="9" t="str">
        <f t="shared" si="4"/>
        <v>금</v>
      </c>
      <c r="U5" s="9" t="str">
        <f t="shared" si="4"/>
        <v>토</v>
      </c>
      <c r="V5" s="9" t="str">
        <f t="shared" si="4"/>
        <v>일</v>
      </c>
      <c r="W5" s="9" t="str">
        <f t="shared" si="4"/>
        <v>월</v>
      </c>
      <c r="X5" s="10" t="str">
        <f t="shared" si="4"/>
        <v>화</v>
      </c>
      <c r="Y5" s="10" t="str">
        <f t="shared" si="4"/>
        <v>수</v>
      </c>
      <c r="Z5" s="10" t="str">
        <f t="shared" si="4"/>
        <v>목</v>
      </c>
      <c r="AA5" s="10" t="str">
        <f t="shared" si="4"/>
        <v>금</v>
      </c>
      <c r="AB5" s="10" t="str">
        <f t="shared" si="4"/>
        <v>토</v>
      </c>
      <c r="AC5" s="10" t="str">
        <f t="shared" si="4"/>
        <v>일</v>
      </c>
      <c r="AD5" s="10" t="str">
        <f t="shared" si="4"/>
        <v>월</v>
      </c>
    </row>
    <row r="6" spans="2:30" ht="18" customHeight="1" thickBot="1">
      <c r="B6" s="14" t="s">
        <v>3</v>
      </c>
      <c r="C6" s="11">
        <f>C2</f>
        <v>46266</v>
      </c>
      <c r="D6" s="11">
        <f>C6+1</f>
        <v>46267</v>
      </c>
      <c r="E6" s="11">
        <f t="shared" ref="E6:Q6" si="5">D6+1</f>
        <v>46268</v>
      </c>
      <c r="F6" s="11">
        <f t="shared" si="5"/>
        <v>46269</v>
      </c>
      <c r="G6" s="11">
        <f t="shared" si="5"/>
        <v>46270</v>
      </c>
      <c r="H6" s="11">
        <f t="shared" si="5"/>
        <v>46271</v>
      </c>
      <c r="I6" s="11">
        <f t="shared" si="5"/>
        <v>46272</v>
      </c>
      <c r="J6" s="12">
        <f t="shared" si="5"/>
        <v>46273</v>
      </c>
      <c r="K6" s="12">
        <f t="shared" si="5"/>
        <v>46274</v>
      </c>
      <c r="L6" s="12">
        <f t="shared" si="5"/>
        <v>46275</v>
      </c>
      <c r="M6" s="12">
        <f t="shared" si="5"/>
        <v>46276</v>
      </c>
      <c r="N6" s="12">
        <f t="shared" si="5"/>
        <v>46277</v>
      </c>
      <c r="O6" s="12">
        <f t="shared" si="5"/>
        <v>46278</v>
      </c>
      <c r="P6" s="12">
        <f t="shared" si="5"/>
        <v>46279</v>
      </c>
      <c r="Q6" s="11">
        <f t="shared" si="5"/>
        <v>46280</v>
      </c>
      <c r="R6" s="11">
        <f t="shared" ref="R6:X6" si="6">Q6+1</f>
        <v>46281</v>
      </c>
      <c r="S6" s="11">
        <f t="shared" si="6"/>
        <v>46282</v>
      </c>
      <c r="T6" s="11">
        <f t="shared" si="6"/>
        <v>46283</v>
      </c>
      <c r="U6" s="11">
        <f t="shared" si="6"/>
        <v>46284</v>
      </c>
      <c r="V6" s="11">
        <f t="shared" si="6"/>
        <v>46285</v>
      </c>
      <c r="W6" s="11">
        <f t="shared" si="6"/>
        <v>46286</v>
      </c>
      <c r="X6" s="12">
        <f t="shared" si="6"/>
        <v>46287</v>
      </c>
      <c r="Y6" s="12">
        <f t="shared" ref="Y6:AC6" si="7">X6+1</f>
        <v>46288</v>
      </c>
      <c r="Z6" s="12">
        <f t="shared" si="7"/>
        <v>46289</v>
      </c>
      <c r="AA6" s="12">
        <f t="shared" si="7"/>
        <v>46290</v>
      </c>
      <c r="AB6" s="12">
        <f t="shared" si="7"/>
        <v>46291</v>
      </c>
      <c r="AC6" s="12">
        <f t="shared" si="7"/>
        <v>46292</v>
      </c>
      <c r="AD6" s="12">
        <f>AC6+1</f>
        <v>46293</v>
      </c>
    </row>
    <row r="7" spans="2:30" ht="30" customHeight="1">
      <c r="B7" s="13"/>
      <c r="C7" s="17" t="s">
        <v>4</v>
      </c>
      <c r="D7" s="17"/>
      <c r="E7" s="17"/>
      <c r="F7" s="17"/>
      <c r="G7" s="17"/>
      <c r="H7" s="17"/>
      <c r="I7" s="17"/>
      <c r="J7" s="18" t="s">
        <v>5</v>
      </c>
      <c r="K7" s="18"/>
      <c r="L7" s="18"/>
      <c r="M7" s="18"/>
      <c r="N7" s="18"/>
      <c r="O7" s="18"/>
      <c r="P7" s="18"/>
      <c r="Q7" s="19" t="s">
        <v>9</v>
      </c>
      <c r="R7" s="19"/>
      <c r="S7" s="19"/>
      <c r="T7" s="19"/>
      <c r="U7" s="19"/>
      <c r="V7" s="19"/>
      <c r="W7" s="19"/>
      <c r="X7" s="20" t="s">
        <v>8</v>
      </c>
      <c r="Y7" s="20"/>
      <c r="Z7" s="20"/>
      <c r="AA7" s="20"/>
      <c r="AB7" s="20"/>
      <c r="AC7" s="20"/>
      <c r="AD7" s="20"/>
    </row>
    <row r="8" spans="2:30" ht="30" customHeight="1">
      <c r="B8" s="13"/>
      <c r="C8" s="6" t="str">
        <f>LOWER(TEXT(C10, "m월"))</f>
        <v>9월</v>
      </c>
      <c r="D8" s="7" t="str">
        <f t="shared" ref="D8" si="8">IF(TEXT(D10,"m월")=TEXT(C10,"m월"),"",LOWER(TEXT(D10,"m월")))</f>
        <v/>
      </c>
      <c r="E8" s="7" t="str">
        <f t="shared" ref="E8" si="9">IF(TEXT(E10,"m월")=TEXT(D10,"m월"),"",LOWER(TEXT(E10,"m월")))</f>
        <v>10월</v>
      </c>
      <c r="F8" s="7" t="str">
        <f t="shared" ref="F8" si="10">IF(TEXT(F10,"m월")=TEXT(E10,"m월"),"",LOWER(TEXT(F10,"m월")))</f>
        <v/>
      </c>
      <c r="G8" s="7" t="str">
        <f t="shared" ref="G8" si="11">IF(TEXT(G10,"m월")=TEXT(F10,"m월"),"",LOWER(TEXT(G10,"m월")))</f>
        <v/>
      </c>
      <c r="H8" s="7" t="str">
        <f t="shared" ref="H8" si="12">IF(TEXT(H10,"m월")=TEXT(G10,"m월"),"",LOWER(TEXT(H10,"m월")))</f>
        <v/>
      </c>
      <c r="I8" s="7" t="str">
        <f t="shared" ref="I8" si="13">IF(TEXT(I10,"m월")=TEXT(H10,"m월"),"",LOWER(TEXT(I10,"m월")))</f>
        <v/>
      </c>
      <c r="J8" s="8" t="str">
        <f>LOWER(TEXT(J10,"m월"))</f>
        <v>10월</v>
      </c>
      <c r="K8" s="8" t="str">
        <f t="shared" ref="K8" si="14">IF(TEXT(K10,"m월")=TEXT(J10,"m월"),"",LOWER(TEXT(K10,"m월")))</f>
        <v/>
      </c>
      <c r="L8" s="8" t="str">
        <f t="shared" ref="L8" si="15">IF(TEXT(L10,"m월")=TEXT(K10,"m월"),"",LOWER(TEXT(L10,"m월")))</f>
        <v/>
      </c>
      <c r="M8" s="8" t="str">
        <f t="shared" ref="M8" si="16">IF(TEXT(M10,"m월")=TEXT(L10,"m월"),"",LOWER(TEXT(M10,"m월")))</f>
        <v/>
      </c>
      <c r="N8" s="8" t="str">
        <f t="shared" ref="N8" si="17">IF(TEXT(N10,"m월")=TEXT(M10,"m월"),"",LOWER(TEXT(N10,"m월")))</f>
        <v/>
      </c>
      <c r="O8" s="8" t="str">
        <f t="shared" ref="O8" si="18">IF(TEXT(O10,"m월")=TEXT(N10,"m월"),"",LOWER(TEXT(O10,"m월")))</f>
        <v/>
      </c>
      <c r="P8" s="8" t="str">
        <f t="shared" ref="P8" si="19">IF(TEXT(P10,"m월")=TEXT(O10,"m월"),"",LOWER(TEXT(P10,"m월")))</f>
        <v/>
      </c>
      <c r="Q8" s="7" t="str">
        <f>LOWER(TEXT(Q10,"m월"))</f>
        <v>10월</v>
      </c>
      <c r="R8" s="7" t="str">
        <f t="shared" ref="R8" si="20">IF(TEXT(R10,"m월")=TEXT(Q10,"m월"),"",LOWER(TEXT(R10,"m월")))</f>
        <v/>
      </c>
      <c r="S8" s="7" t="str">
        <f t="shared" ref="S8" si="21">IF(TEXT(S10,"m월")=TEXT(R10,"m월"),"",LOWER(TEXT(S10,"m월")))</f>
        <v/>
      </c>
      <c r="T8" s="7" t="str">
        <f t="shared" ref="T8" si="22">IF(TEXT(T10,"m월")=TEXT(S10,"m월"),"",LOWER(TEXT(T10,"m월")))</f>
        <v/>
      </c>
      <c r="U8" s="7" t="str">
        <f t="shared" ref="U8" si="23">IF(TEXT(U10,"m월")=TEXT(T10,"m월"),"",LOWER(TEXT(U10,"m월")))</f>
        <v/>
      </c>
      <c r="V8" s="7" t="str">
        <f t="shared" ref="V8" si="24">IF(TEXT(V10,"m월")=TEXT(U10,"m월"),"",LOWER(TEXT(V10,"m월")))</f>
        <v/>
      </c>
      <c r="W8" s="7" t="str">
        <f t="shared" ref="W8" si="25">IF(TEXT(W10,"m월")=TEXT(V10,"m월"),"",LOWER(TEXT(W10,"m월")))</f>
        <v/>
      </c>
      <c r="X8" s="8" t="str">
        <f>LOWER(TEXT(X10,"m월"))</f>
        <v>10월</v>
      </c>
      <c r="Y8" s="8" t="str">
        <f t="shared" ref="Y8" si="26">IF(TEXT(Y10,"m월")=TEXT(X10,"m월"),"",LOWER(TEXT(Y10,"m월")))</f>
        <v/>
      </c>
      <c r="Z8" s="8" t="str">
        <f t="shared" ref="Z8" si="27">IF(TEXT(Z10,"m월")=TEXT(Y10,"m월"),"",LOWER(TEXT(Z10,"m월")))</f>
        <v/>
      </c>
      <c r="AA8" s="8" t="str">
        <f t="shared" ref="AA8" si="28">IF(TEXT(AA10,"m월")=TEXT(Z10,"m월"),"",LOWER(TEXT(AA10,"m월")))</f>
        <v/>
      </c>
      <c r="AB8" s="8" t="str">
        <f t="shared" ref="AB8" si="29">IF(TEXT(AB10,"m월")=TEXT(AA10,"m월"),"",LOWER(TEXT(AB10,"m월")))</f>
        <v/>
      </c>
      <c r="AC8" s="8" t="str">
        <f t="shared" ref="AC8" si="30">IF(TEXT(AC10,"m월")=TEXT(AB10,"m월"),"",LOWER(TEXT(AC10,"m월")))</f>
        <v/>
      </c>
      <c r="AD8" s="8" t="str">
        <f t="shared" ref="AD8" si="31">IF(TEXT(AD10,"m월")=TEXT(AC10,"m월"),"",LOWER(TEXT(AD10,"m월")))</f>
        <v/>
      </c>
    </row>
    <row r="9" spans="2:30" ht="30" customHeight="1">
      <c r="B9" s="13"/>
      <c r="C9" s="9" t="str">
        <f>LOWER(TEXT(C10,"aaa"))</f>
        <v>화</v>
      </c>
      <c r="D9" s="9" t="str">
        <f t="shared" ref="D9:AD9" si="32">LOWER(TEXT(D10,"aaa"))</f>
        <v>수</v>
      </c>
      <c r="E9" s="9" t="str">
        <f t="shared" si="32"/>
        <v>목</v>
      </c>
      <c r="F9" s="9" t="str">
        <f t="shared" si="32"/>
        <v>금</v>
      </c>
      <c r="G9" s="9" t="str">
        <f t="shared" si="32"/>
        <v>토</v>
      </c>
      <c r="H9" s="9" t="str">
        <f t="shared" si="32"/>
        <v>일</v>
      </c>
      <c r="I9" s="9" t="str">
        <f t="shared" si="32"/>
        <v>월</v>
      </c>
      <c r="J9" s="10" t="str">
        <f t="shared" si="32"/>
        <v>화</v>
      </c>
      <c r="K9" s="10" t="str">
        <f t="shared" si="32"/>
        <v>수</v>
      </c>
      <c r="L9" s="10" t="str">
        <f t="shared" si="32"/>
        <v>목</v>
      </c>
      <c r="M9" s="10" t="str">
        <f t="shared" si="32"/>
        <v>금</v>
      </c>
      <c r="N9" s="10" t="str">
        <f t="shared" si="32"/>
        <v>토</v>
      </c>
      <c r="O9" s="10" t="str">
        <f t="shared" si="32"/>
        <v>일</v>
      </c>
      <c r="P9" s="10" t="str">
        <f t="shared" si="32"/>
        <v>월</v>
      </c>
      <c r="Q9" s="9" t="str">
        <f t="shared" si="32"/>
        <v>화</v>
      </c>
      <c r="R9" s="9" t="str">
        <f t="shared" si="32"/>
        <v>수</v>
      </c>
      <c r="S9" s="9" t="str">
        <f t="shared" si="32"/>
        <v>목</v>
      </c>
      <c r="T9" s="9" t="str">
        <f t="shared" si="32"/>
        <v>금</v>
      </c>
      <c r="U9" s="9" t="str">
        <f t="shared" si="32"/>
        <v>토</v>
      </c>
      <c r="V9" s="9" t="str">
        <f t="shared" si="32"/>
        <v>일</v>
      </c>
      <c r="W9" s="9" t="str">
        <f t="shared" si="32"/>
        <v>월</v>
      </c>
      <c r="X9" s="10" t="str">
        <f t="shared" si="32"/>
        <v>화</v>
      </c>
      <c r="Y9" s="10" t="str">
        <f t="shared" si="32"/>
        <v>수</v>
      </c>
      <c r="Z9" s="10" t="str">
        <f t="shared" si="32"/>
        <v>목</v>
      </c>
      <c r="AA9" s="10" t="str">
        <f t="shared" si="32"/>
        <v>금</v>
      </c>
      <c r="AB9" s="10" t="str">
        <f t="shared" si="32"/>
        <v>토</v>
      </c>
      <c r="AC9" s="10" t="str">
        <f t="shared" si="32"/>
        <v>일</v>
      </c>
      <c r="AD9" s="10" t="str">
        <f t="shared" si="32"/>
        <v>월</v>
      </c>
    </row>
    <row r="10" spans="2:30" ht="30" customHeight="1" thickBot="1">
      <c r="B10" s="13"/>
      <c r="C10" s="11">
        <f>AD6+1</f>
        <v>46294</v>
      </c>
      <c r="D10" s="11">
        <f>C10+1</f>
        <v>46295</v>
      </c>
      <c r="E10" s="11">
        <f t="shared" ref="E10" si="33">D10+1</f>
        <v>46296</v>
      </c>
      <c r="F10" s="11">
        <f t="shared" ref="F10" si="34">E10+1</f>
        <v>46297</v>
      </c>
      <c r="G10" s="11">
        <f t="shared" ref="G10" si="35">F10+1</f>
        <v>46298</v>
      </c>
      <c r="H10" s="11">
        <f t="shared" ref="H10" si="36">G10+1</f>
        <v>46299</v>
      </c>
      <c r="I10" s="11">
        <f t="shared" ref="I10" si="37">H10+1</f>
        <v>46300</v>
      </c>
      <c r="J10" s="12">
        <f t="shared" ref="J10" si="38">I10+1</f>
        <v>46301</v>
      </c>
      <c r="K10" s="12">
        <f t="shared" ref="K10" si="39">J10+1</f>
        <v>46302</v>
      </c>
      <c r="L10" s="12">
        <f t="shared" ref="L10" si="40">K10+1</f>
        <v>46303</v>
      </c>
      <c r="M10" s="12">
        <f t="shared" ref="M10" si="41">L10+1</f>
        <v>46304</v>
      </c>
      <c r="N10" s="12">
        <f t="shared" ref="N10" si="42">M10+1</f>
        <v>46305</v>
      </c>
      <c r="O10" s="12">
        <f t="shared" ref="O10" si="43">N10+1</f>
        <v>46306</v>
      </c>
      <c r="P10" s="12">
        <f t="shared" ref="P10" si="44">O10+1</f>
        <v>46307</v>
      </c>
      <c r="Q10" s="11">
        <f t="shared" ref="Q10" si="45">P10+1</f>
        <v>46308</v>
      </c>
      <c r="R10" s="11">
        <f t="shared" ref="R10" si="46">Q10+1</f>
        <v>46309</v>
      </c>
      <c r="S10" s="11">
        <f t="shared" ref="S10" si="47">R10+1</f>
        <v>46310</v>
      </c>
      <c r="T10" s="11">
        <f t="shared" ref="T10" si="48">S10+1</f>
        <v>46311</v>
      </c>
      <c r="U10" s="11">
        <f t="shared" ref="U10" si="49">T10+1</f>
        <v>46312</v>
      </c>
      <c r="V10" s="11">
        <f t="shared" ref="V10" si="50">U10+1</f>
        <v>46313</v>
      </c>
      <c r="W10" s="11">
        <f t="shared" ref="W10" si="51">V10+1</f>
        <v>46314</v>
      </c>
      <c r="X10" s="12">
        <f t="shared" ref="X10" si="52">W10+1</f>
        <v>46315</v>
      </c>
      <c r="Y10" s="12">
        <f t="shared" ref="Y10" si="53">X10+1</f>
        <v>46316</v>
      </c>
      <c r="Z10" s="12">
        <f t="shared" ref="Z10" si="54">Y10+1</f>
        <v>46317</v>
      </c>
      <c r="AA10" s="12">
        <f t="shared" ref="AA10" si="55">Z10+1</f>
        <v>46318</v>
      </c>
      <c r="AB10" s="12">
        <f t="shared" ref="AB10" si="56">AA10+1</f>
        <v>46319</v>
      </c>
      <c r="AC10" s="12">
        <f t="shared" ref="AC10" si="57">AB10+1</f>
        <v>46320</v>
      </c>
      <c r="AD10" s="12">
        <f t="shared" ref="AD10" si="58">AC10+1</f>
        <v>46321</v>
      </c>
    </row>
    <row r="11" spans="2:30" ht="30" customHeight="1">
      <c r="B11" s="13"/>
      <c r="C11" s="23" t="s">
        <v>10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6" t="s">
        <v>11</v>
      </c>
      <c r="R11" s="26"/>
      <c r="S11" s="26"/>
      <c r="T11" s="26"/>
      <c r="U11" s="26"/>
      <c r="V11" s="26"/>
      <c r="W11" s="26"/>
      <c r="X11" s="27" t="s">
        <v>12</v>
      </c>
      <c r="Y11" s="27"/>
      <c r="Z11" s="27"/>
      <c r="AA11" s="27"/>
      <c r="AB11" s="27"/>
      <c r="AC11" s="27"/>
      <c r="AD11" s="27"/>
    </row>
    <row r="12" spans="2:30" ht="30" customHeight="1">
      <c r="B12" s="13"/>
      <c r="C12" s="6" t="str">
        <f>LOWER(TEXT(C14, "m월"))</f>
        <v>10월</v>
      </c>
      <c r="D12" s="7" t="str">
        <f t="shared" ref="D12" si="59">IF(TEXT(D14,"m월")=TEXT(C14,"m월"),"",LOWER(TEXT(D14,"m월")))</f>
        <v/>
      </c>
      <c r="E12" s="7" t="str">
        <f t="shared" ref="E12" si="60">IF(TEXT(E14,"m월")=TEXT(D14,"m월"),"",LOWER(TEXT(E14,"m월")))</f>
        <v/>
      </c>
      <c r="F12" s="7" t="str">
        <f t="shared" ref="F12" si="61">IF(TEXT(F14,"m월")=TEXT(E14,"m월"),"",LOWER(TEXT(F14,"m월")))</f>
        <v/>
      </c>
      <c r="G12" s="7" t="str">
        <f t="shared" ref="G12" si="62">IF(TEXT(G14,"m월")=TEXT(F14,"m월"),"",LOWER(TEXT(G14,"m월")))</f>
        <v/>
      </c>
      <c r="H12" s="7" t="str">
        <f t="shared" ref="H12" si="63">IF(TEXT(H14,"m월")=TEXT(G14,"m월"),"",LOWER(TEXT(H14,"m월")))</f>
        <v>11월</v>
      </c>
      <c r="I12" s="7" t="str">
        <f>IF(TEXT(I14,"m월")=TEXT(H14,"m월"),"",LOWER(TEXT(I14,"m월")))</f>
        <v/>
      </c>
      <c r="J12" s="8" t="str">
        <f>LOWER(TEXT(J14,"m월"))</f>
        <v>11월</v>
      </c>
      <c r="K12" s="8" t="str">
        <f t="shared" ref="K12" si="64">IF(TEXT(K14,"m월")=TEXT(J14,"m월"),"",LOWER(TEXT(K14,"m월")))</f>
        <v/>
      </c>
      <c r="L12" s="8" t="str">
        <f t="shared" ref="L12" si="65">IF(TEXT(L14,"m월")=TEXT(K14,"m월"),"",LOWER(TEXT(L14,"m월")))</f>
        <v/>
      </c>
      <c r="M12" s="8" t="str">
        <f t="shared" ref="M12" si="66">IF(TEXT(M14,"m월")=TEXT(L14,"m월"),"",LOWER(TEXT(M14,"m월")))</f>
        <v/>
      </c>
      <c r="N12" s="8" t="str">
        <f t="shared" ref="N12" si="67">IF(TEXT(N14,"m월")=TEXT(M14,"m월"),"",LOWER(TEXT(N14,"m월")))</f>
        <v/>
      </c>
      <c r="O12" s="8" t="str">
        <f t="shared" ref="O12" si="68">IF(TEXT(O14,"m월")=TEXT(N14,"m월"),"",LOWER(TEXT(O14,"m월")))</f>
        <v/>
      </c>
      <c r="P12" s="8" t="str">
        <f>IF(TEXT(P14,"m월")=TEXT(O14,"m월"),"",LOWER(TEXT(P14,"m월")))</f>
        <v/>
      </c>
      <c r="Q12" s="7" t="str">
        <f>LOWER(TEXT(Q14,"m월"))</f>
        <v>11월</v>
      </c>
      <c r="R12" s="7" t="str">
        <f t="shared" ref="R12" si="69">IF(TEXT(R14,"m월")=TEXT(Q14,"m월"),"",LOWER(TEXT(R14,"m월")))</f>
        <v/>
      </c>
      <c r="S12" s="7" t="str">
        <f t="shared" ref="S12" si="70">IF(TEXT(S14,"m월")=TEXT(R14,"m월"),"",LOWER(TEXT(S14,"m월")))</f>
        <v/>
      </c>
      <c r="T12" s="7" t="str">
        <f t="shared" ref="T12" si="71">IF(TEXT(T14,"m월")=TEXT(S14,"m월"),"",LOWER(TEXT(T14,"m월")))</f>
        <v/>
      </c>
      <c r="U12" s="7" t="str">
        <f t="shared" ref="U12" si="72">IF(TEXT(U14,"m월")=TEXT(T14,"m월"),"",LOWER(TEXT(U14,"m월")))</f>
        <v/>
      </c>
      <c r="V12" s="7" t="str">
        <f t="shared" ref="V12" si="73">IF(TEXT(V14,"m월")=TEXT(U14,"m월"),"",LOWER(TEXT(V14,"m월")))</f>
        <v/>
      </c>
      <c r="W12" s="7" t="str">
        <f t="shared" ref="W12" si="74">IF(TEXT(W14,"m월")=TEXT(V14,"m월"),"",LOWER(TEXT(W14,"m월")))</f>
        <v/>
      </c>
      <c r="X12" s="8" t="str">
        <f>LOWER(TEXT(X14,"m월"))</f>
        <v>11월</v>
      </c>
      <c r="Y12" s="8" t="str">
        <f t="shared" ref="Y12" si="75">IF(TEXT(Y14,"m월")=TEXT(X14,"m월"),"",LOWER(TEXT(Y14,"m월")))</f>
        <v/>
      </c>
      <c r="Z12" s="8" t="str">
        <f t="shared" ref="Z12" si="76">IF(TEXT(Z14,"m월")=TEXT(Y14,"m월"),"",LOWER(TEXT(Z14,"m월")))</f>
        <v/>
      </c>
      <c r="AA12" s="8" t="str">
        <f t="shared" ref="AA12" si="77">IF(TEXT(AA14,"m월")=TEXT(Z14,"m월"),"",LOWER(TEXT(AA14,"m월")))</f>
        <v/>
      </c>
      <c r="AB12" s="8" t="str">
        <f t="shared" ref="AB12" si="78">IF(TEXT(AB14,"m월")=TEXT(AA14,"m월"),"",LOWER(TEXT(AB14,"m월")))</f>
        <v/>
      </c>
      <c r="AC12" s="8" t="str">
        <f t="shared" ref="AC12" si="79">IF(TEXT(AC14,"m월")=TEXT(AB14,"m월"),"",LOWER(TEXT(AC14,"m월")))</f>
        <v/>
      </c>
      <c r="AD12" s="8" t="str">
        <f t="shared" ref="AD12" si="80">IF(TEXT(AD14,"m월")=TEXT(AC14,"m월"),"",LOWER(TEXT(AD14,"m월")))</f>
        <v/>
      </c>
    </row>
    <row r="13" spans="2:30" ht="30" customHeight="1">
      <c r="B13" s="13"/>
      <c r="C13" s="9" t="str">
        <f>LOWER(TEXT(C14,"aaa"))</f>
        <v>화</v>
      </c>
      <c r="D13" s="9" t="str">
        <f t="shared" ref="D13:AD13" si="81">LOWER(TEXT(D14,"aaa"))</f>
        <v>수</v>
      </c>
      <c r="E13" s="9" t="str">
        <f t="shared" si="81"/>
        <v>목</v>
      </c>
      <c r="F13" s="9" t="str">
        <f t="shared" si="81"/>
        <v>금</v>
      </c>
      <c r="G13" s="9" t="str">
        <f t="shared" si="81"/>
        <v>토</v>
      </c>
      <c r="H13" s="9" t="str">
        <f t="shared" si="81"/>
        <v>일</v>
      </c>
      <c r="I13" s="9" t="str">
        <f t="shared" si="81"/>
        <v>월</v>
      </c>
      <c r="J13" s="10" t="str">
        <f t="shared" si="81"/>
        <v>화</v>
      </c>
      <c r="K13" s="10" t="str">
        <f t="shared" si="81"/>
        <v>수</v>
      </c>
      <c r="L13" s="10" t="str">
        <f t="shared" si="81"/>
        <v>목</v>
      </c>
      <c r="M13" s="10" t="str">
        <f t="shared" si="81"/>
        <v>금</v>
      </c>
      <c r="N13" s="10" t="str">
        <f t="shared" si="81"/>
        <v>토</v>
      </c>
      <c r="O13" s="10" t="str">
        <f t="shared" si="81"/>
        <v>일</v>
      </c>
      <c r="P13" s="10" t="str">
        <f t="shared" si="81"/>
        <v>월</v>
      </c>
      <c r="Q13" s="9" t="str">
        <f t="shared" si="81"/>
        <v>화</v>
      </c>
      <c r="R13" s="9" t="str">
        <f t="shared" si="81"/>
        <v>수</v>
      </c>
      <c r="S13" s="9" t="str">
        <f t="shared" si="81"/>
        <v>목</v>
      </c>
      <c r="T13" s="9" t="str">
        <f t="shared" si="81"/>
        <v>금</v>
      </c>
      <c r="U13" s="9" t="str">
        <f t="shared" si="81"/>
        <v>토</v>
      </c>
      <c r="V13" s="9" t="str">
        <f t="shared" si="81"/>
        <v>일</v>
      </c>
      <c r="W13" s="9" t="str">
        <f t="shared" si="81"/>
        <v>월</v>
      </c>
      <c r="X13" s="10" t="str">
        <f t="shared" si="81"/>
        <v>화</v>
      </c>
      <c r="Y13" s="10" t="str">
        <f t="shared" si="81"/>
        <v>수</v>
      </c>
      <c r="Z13" s="10" t="str">
        <f t="shared" si="81"/>
        <v>목</v>
      </c>
      <c r="AA13" s="10" t="str">
        <f t="shared" si="81"/>
        <v>금</v>
      </c>
      <c r="AB13" s="10" t="str">
        <f t="shared" si="81"/>
        <v>토</v>
      </c>
      <c r="AC13" s="10" t="str">
        <f t="shared" si="81"/>
        <v>일</v>
      </c>
      <c r="AD13" s="10" t="str">
        <f t="shared" si="81"/>
        <v>월</v>
      </c>
    </row>
    <row r="14" spans="2:30" ht="30" customHeight="1" thickBot="1">
      <c r="B14" s="13"/>
      <c r="C14" s="11">
        <f>AD10+1</f>
        <v>46322</v>
      </c>
      <c r="D14" s="11">
        <f>C14+1</f>
        <v>46323</v>
      </c>
      <c r="E14" s="11">
        <f t="shared" ref="E14" si="82">D14+1</f>
        <v>46324</v>
      </c>
      <c r="F14" s="11">
        <f t="shared" ref="F14" si="83">E14+1</f>
        <v>46325</v>
      </c>
      <c r="G14" s="11">
        <f t="shared" ref="G14" si="84">F14+1</f>
        <v>46326</v>
      </c>
      <c r="H14" s="11">
        <f t="shared" ref="H14" si="85">G14+1</f>
        <v>46327</v>
      </c>
      <c r="I14" s="11">
        <f>H14+1</f>
        <v>46328</v>
      </c>
      <c r="J14" s="12">
        <f t="shared" ref="J14" si="86">I14+1</f>
        <v>46329</v>
      </c>
      <c r="K14" s="12">
        <f t="shared" ref="K14" si="87">J14+1</f>
        <v>46330</v>
      </c>
      <c r="L14" s="12">
        <f t="shared" ref="L14" si="88">K14+1</f>
        <v>46331</v>
      </c>
      <c r="M14" s="12">
        <f t="shared" ref="M14" si="89">L14+1</f>
        <v>46332</v>
      </c>
      <c r="N14" s="12">
        <f t="shared" ref="N14" si="90">M14+1</f>
        <v>46333</v>
      </c>
      <c r="O14" s="12">
        <f t="shared" ref="O14" si="91">N14+1</f>
        <v>46334</v>
      </c>
      <c r="P14" s="12">
        <f>O14+1</f>
        <v>46335</v>
      </c>
      <c r="Q14" s="11">
        <f t="shared" ref="Q14" si="92">P14+1</f>
        <v>46336</v>
      </c>
      <c r="R14" s="11">
        <f t="shared" ref="R14" si="93">Q14+1</f>
        <v>46337</v>
      </c>
      <c r="S14" s="11">
        <f t="shared" ref="S14" si="94">R14+1</f>
        <v>46338</v>
      </c>
      <c r="T14" s="11">
        <f t="shared" ref="T14" si="95">S14+1</f>
        <v>46339</v>
      </c>
      <c r="U14" s="11">
        <f t="shared" ref="U14" si="96">T14+1</f>
        <v>46340</v>
      </c>
      <c r="V14" s="11">
        <f t="shared" ref="V14" si="97">U14+1</f>
        <v>46341</v>
      </c>
      <c r="W14" s="11">
        <f t="shared" ref="W14" si="98">V14+1</f>
        <v>46342</v>
      </c>
      <c r="X14" s="12">
        <f t="shared" ref="X14" si="99">W14+1</f>
        <v>46343</v>
      </c>
      <c r="Y14" s="12">
        <f t="shared" ref="Y14" si="100">X14+1</f>
        <v>46344</v>
      </c>
      <c r="Z14" s="12">
        <f t="shared" ref="Z14" si="101">Y14+1</f>
        <v>46345</v>
      </c>
      <c r="AA14" s="12">
        <f t="shared" ref="AA14" si="102">Z14+1</f>
        <v>46346</v>
      </c>
      <c r="AB14" s="12">
        <f t="shared" ref="AB14" si="103">AA14+1</f>
        <v>46347</v>
      </c>
      <c r="AC14" s="12">
        <f t="shared" ref="AC14" si="104">AB14+1</f>
        <v>46348</v>
      </c>
      <c r="AD14" s="12">
        <f t="shared" ref="AD14" si="105">AC14+1</f>
        <v>46349</v>
      </c>
    </row>
    <row r="15" spans="2:30" ht="30" customHeight="1">
      <c r="B15" s="13"/>
      <c r="C15" s="21" t="s">
        <v>13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2" t="s">
        <v>14</v>
      </c>
      <c r="R15" s="22"/>
      <c r="S15" s="22"/>
      <c r="T15" s="22"/>
      <c r="U15" s="22"/>
      <c r="V15" s="22"/>
      <c r="W15" s="22"/>
      <c r="X15" s="25" t="s">
        <v>7</v>
      </c>
      <c r="Y15" s="25"/>
      <c r="Z15" s="25"/>
      <c r="AA15" s="25"/>
      <c r="AB15" s="25"/>
      <c r="AC15" s="25"/>
      <c r="AD15" s="25"/>
    </row>
    <row r="16" spans="2:30" ht="30" customHeight="1">
      <c r="B16" s="13"/>
      <c r="C16" s="6" t="str">
        <f>LOWER(TEXT(C18, "m월"))</f>
        <v>11월</v>
      </c>
      <c r="D16" s="7" t="str">
        <f t="shared" ref="D16" si="106">IF(TEXT(D18,"m월")=TEXT(C18,"m월"),"",LOWER(TEXT(D18,"m월")))</f>
        <v/>
      </c>
      <c r="E16" s="7" t="str">
        <f t="shared" ref="E16" si="107">IF(TEXT(E18,"m월")=TEXT(D18,"m월"),"",LOWER(TEXT(E18,"m월")))</f>
        <v/>
      </c>
      <c r="F16" s="7" t="str">
        <f t="shared" ref="F16" si="108">IF(TEXT(F18,"m월")=TEXT(E18,"m월"),"",LOWER(TEXT(F18,"m월")))</f>
        <v/>
      </c>
      <c r="G16" s="7" t="str">
        <f t="shared" ref="G16" si="109">IF(TEXT(G18,"m월")=TEXT(F18,"m월"),"",LOWER(TEXT(G18,"m월")))</f>
        <v/>
      </c>
      <c r="H16" s="7" t="str">
        <f t="shared" ref="H16" si="110">IF(TEXT(H18,"m월")=TEXT(G18,"m월"),"",LOWER(TEXT(H18,"m월")))</f>
        <v/>
      </c>
      <c r="I16" s="7" t="str">
        <f>IF(TEXT(I18,"m월")=TEXT(H18,"m월"),"",LOWER(TEXT(I18,"m월")))</f>
        <v/>
      </c>
      <c r="J16" s="8" t="str">
        <f>LOWER(TEXT(J18,"m월"))</f>
        <v>12월</v>
      </c>
      <c r="K16" s="8" t="str">
        <f t="shared" ref="K16" si="111">IF(TEXT(K18,"m월")=TEXT(J18,"m월"),"",LOWER(TEXT(K18,"m월")))</f>
        <v/>
      </c>
      <c r="L16" s="8" t="str">
        <f t="shared" ref="L16" si="112">IF(TEXT(L18,"m월")=TEXT(K18,"m월"),"",LOWER(TEXT(L18,"m월")))</f>
        <v/>
      </c>
      <c r="M16" s="8" t="str">
        <f t="shared" ref="M16" si="113">IF(TEXT(M18,"m월")=TEXT(L18,"m월"),"",LOWER(TEXT(M18,"m월")))</f>
        <v/>
      </c>
      <c r="N16" s="8" t="str">
        <f t="shared" ref="N16" si="114">IF(TEXT(N18,"m월")=TEXT(M18,"m월"),"",LOWER(TEXT(N18,"m월")))</f>
        <v/>
      </c>
      <c r="O16" s="8" t="str">
        <f t="shared" ref="O16" si="115">IF(TEXT(O18,"m월")=TEXT(N18,"m월"),"",LOWER(TEXT(O18,"m월")))</f>
        <v/>
      </c>
      <c r="P16" s="8" t="str">
        <f>IF(TEXT(P18,"m월")=TEXT(O18,"m월"),"",LOWER(TEXT(P18,"m월")))</f>
        <v/>
      </c>
      <c r="Q16" s="7" t="str">
        <f>LOWER(TEXT(Q18,"m월"))</f>
        <v>12월</v>
      </c>
      <c r="R16" s="7" t="str">
        <f t="shared" ref="R16" si="116">IF(TEXT(R18,"m월")=TEXT(Q18,"m월"),"",LOWER(TEXT(R18,"m월")))</f>
        <v/>
      </c>
      <c r="S16" s="7" t="str">
        <f t="shared" ref="S16" si="117">IF(TEXT(S18,"m월")=TEXT(R18,"m월"),"",LOWER(TEXT(S18,"m월")))</f>
        <v/>
      </c>
      <c r="T16" s="7" t="str">
        <f t="shared" ref="T16" si="118">IF(TEXT(T18,"m월")=TEXT(S18,"m월"),"",LOWER(TEXT(T18,"m월")))</f>
        <v/>
      </c>
      <c r="U16" s="7" t="str">
        <f t="shared" ref="U16" si="119">IF(TEXT(U18,"m월")=TEXT(T18,"m월"),"",LOWER(TEXT(U18,"m월")))</f>
        <v/>
      </c>
      <c r="V16" s="7" t="str">
        <f t="shared" ref="V16" si="120">IF(TEXT(V18,"m월")=TEXT(U18,"m월"),"",LOWER(TEXT(V18,"m월")))</f>
        <v/>
      </c>
      <c r="W16" s="7" t="str">
        <f t="shared" ref="W16" si="121">IF(TEXT(W18,"m월")=TEXT(V18,"m월"),"",LOWER(TEXT(W18,"m월")))</f>
        <v/>
      </c>
      <c r="X16" s="8" t="str">
        <f>LOWER(TEXT(X18,"m월"))</f>
        <v>12월</v>
      </c>
      <c r="Y16" s="8" t="str">
        <f t="shared" ref="Y16" si="122">IF(TEXT(Y18,"m월")=TEXT(X18,"m월"),"",LOWER(TEXT(Y18,"m월")))</f>
        <v/>
      </c>
      <c r="Z16" s="8" t="str">
        <f t="shared" ref="Z16" si="123">IF(TEXT(Z18,"m월")=TEXT(Y18,"m월"),"",LOWER(TEXT(Z18,"m월")))</f>
        <v/>
      </c>
      <c r="AA16" s="8" t="str">
        <f t="shared" ref="AA16" si="124">IF(TEXT(AA18,"m월")=TEXT(Z18,"m월"),"",LOWER(TEXT(AA18,"m월")))</f>
        <v/>
      </c>
      <c r="AB16" s="8" t="str">
        <f t="shared" ref="AB16" si="125">IF(TEXT(AB18,"m월")=TEXT(AA18,"m월"),"",LOWER(TEXT(AB18,"m월")))</f>
        <v/>
      </c>
      <c r="AC16" s="8" t="str">
        <f t="shared" ref="AC16" si="126">IF(TEXT(AC18,"m월")=TEXT(AB18,"m월"),"",LOWER(TEXT(AC18,"m월")))</f>
        <v/>
      </c>
      <c r="AD16" s="8" t="str">
        <f t="shared" ref="AD16" si="127">IF(TEXT(AD18,"m월")=TEXT(AC18,"m월"),"",LOWER(TEXT(AD18,"m월")))</f>
        <v/>
      </c>
    </row>
    <row r="17" spans="2:30" ht="30" customHeight="1">
      <c r="B17" s="13"/>
      <c r="C17" s="9" t="str">
        <f>LOWER(TEXT(C18,"aaa"))</f>
        <v>화</v>
      </c>
      <c r="D17" s="9" t="str">
        <f t="shared" ref="D17:AD17" si="128">LOWER(TEXT(D18,"aaa"))</f>
        <v>수</v>
      </c>
      <c r="E17" s="9" t="str">
        <f t="shared" si="128"/>
        <v>목</v>
      </c>
      <c r="F17" s="9" t="str">
        <f t="shared" si="128"/>
        <v>금</v>
      </c>
      <c r="G17" s="9" t="str">
        <f t="shared" si="128"/>
        <v>토</v>
      </c>
      <c r="H17" s="9" t="str">
        <f t="shared" si="128"/>
        <v>일</v>
      </c>
      <c r="I17" s="9" t="str">
        <f t="shared" si="128"/>
        <v>월</v>
      </c>
      <c r="J17" s="10" t="str">
        <f t="shared" si="128"/>
        <v>화</v>
      </c>
      <c r="K17" s="10" t="str">
        <f t="shared" si="128"/>
        <v>수</v>
      </c>
      <c r="L17" s="10" t="str">
        <f t="shared" si="128"/>
        <v>목</v>
      </c>
      <c r="M17" s="10" t="str">
        <f t="shared" si="128"/>
        <v>금</v>
      </c>
      <c r="N17" s="10" t="str">
        <f t="shared" si="128"/>
        <v>토</v>
      </c>
      <c r="O17" s="10" t="str">
        <f t="shared" si="128"/>
        <v>일</v>
      </c>
      <c r="P17" s="10" t="str">
        <f t="shared" si="128"/>
        <v>월</v>
      </c>
      <c r="Q17" s="9" t="str">
        <f t="shared" si="128"/>
        <v>화</v>
      </c>
      <c r="R17" s="9" t="str">
        <f t="shared" si="128"/>
        <v>수</v>
      </c>
      <c r="S17" s="9" t="str">
        <f t="shared" si="128"/>
        <v>목</v>
      </c>
      <c r="T17" s="9" t="str">
        <f t="shared" si="128"/>
        <v>금</v>
      </c>
      <c r="U17" s="9" t="str">
        <f t="shared" si="128"/>
        <v>토</v>
      </c>
      <c r="V17" s="9" t="str">
        <f t="shared" si="128"/>
        <v>일</v>
      </c>
      <c r="W17" s="9" t="str">
        <f t="shared" si="128"/>
        <v>월</v>
      </c>
      <c r="X17" s="10" t="str">
        <f t="shared" si="128"/>
        <v>화</v>
      </c>
      <c r="Y17" s="10" t="str">
        <f t="shared" si="128"/>
        <v>수</v>
      </c>
      <c r="Z17" s="10" t="str">
        <f t="shared" si="128"/>
        <v>목</v>
      </c>
      <c r="AA17" s="10" t="str">
        <f t="shared" si="128"/>
        <v>금</v>
      </c>
      <c r="AB17" s="10" t="str">
        <f t="shared" si="128"/>
        <v>토</v>
      </c>
      <c r="AC17" s="10" t="str">
        <f t="shared" si="128"/>
        <v>일</v>
      </c>
      <c r="AD17" s="10" t="str">
        <f t="shared" si="128"/>
        <v>월</v>
      </c>
    </row>
    <row r="18" spans="2:30" ht="30" customHeight="1" thickBot="1">
      <c r="B18" s="13"/>
      <c r="C18" s="11">
        <f>AD14+1</f>
        <v>46350</v>
      </c>
      <c r="D18" s="11">
        <f>C18+1</f>
        <v>46351</v>
      </c>
      <c r="E18" s="11">
        <f t="shared" ref="E18" si="129">D18+1</f>
        <v>46352</v>
      </c>
      <c r="F18" s="11">
        <f t="shared" ref="F18" si="130">E18+1</f>
        <v>46353</v>
      </c>
      <c r="G18" s="11">
        <f t="shared" ref="G18" si="131">F18+1</f>
        <v>46354</v>
      </c>
      <c r="H18" s="11">
        <f t="shared" ref="H18" si="132">G18+1</f>
        <v>46355</v>
      </c>
      <c r="I18" s="11">
        <f>H18+1</f>
        <v>46356</v>
      </c>
      <c r="J18" s="12">
        <f t="shared" ref="J18" si="133">I18+1</f>
        <v>46357</v>
      </c>
      <c r="K18" s="12">
        <f t="shared" ref="K18" si="134">J18+1</f>
        <v>46358</v>
      </c>
      <c r="L18" s="12">
        <f t="shared" ref="L18" si="135">K18+1</f>
        <v>46359</v>
      </c>
      <c r="M18" s="12">
        <f t="shared" ref="M18" si="136">L18+1</f>
        <v>46360</v>
      </c>
      <c r="N18" s="12">
        <f t="shared" ref="N18" si="137">M18+1</f>
        <v>46361</v>
      </c>
      <c r="O18" s="12">
        <f t="shared" ref="O18" si="138">N18+1</f>
        <v>46362</v>
      </c>
      <c r="P18" s="12">
        <f>O18+1</f>
        <v>46363</v>
      </c>
      <c r="Q18" s="11">
        <f t="shared" ref="Q18" si="139">P18+1</f>
        <v>46364</v>
      </c>
      <c r="R18" s="11">
        <f t="shared" ref="R18" si="140">Q18+1</f>
        <v>46365</v>
      </c>
      <c r="S18" s="11">
        <f t="shared" ref="S18" si="141">R18+1</f>
        <v>46366</v>
      </c>
      <c r="T18" s="11">
        <f t="shared" ref="T18" si="142">S18+1</f>
        <v>46367</v>
      </c>
      <c r="U18" s="11">
        <f t="shared" ref="U18" si="143">T18+1</f>
        <v>46368</v>
      </c>
      <c r="V18" s="11">
        <f t="shared" ref="V18" si="144">U18+1</f>
        <v>46369</v>
      </c>
      <c r="W18" s="11">
        <f t="shared" ref="W18" si="145">V18+1</f>
        <v>46370</v>
      </c>
      <c r="X18" s="12">
        <f t="shared" ref="X18" si="146">W18+1</f>
        <v>46371</v>
      </c>
      <c r="Y18" s="12">
        <f t="shared" ref="Y18" si="147">X18+1</f>
        <v>46372</v>
      </c>
      <c r="Z18" s="12">
        <f t="shared" ref="Z18" si="148">Y18+1</f>
        <v>46373</v>
      </c>
      <c r="AA18" s="12">
        <f t="shared" ref="AA18" si="149">Z18+1</f>
        <v>46374</v>
      </c>
      <c r="AB18" s="12">
        <f t="shared" ref="AB18" si="150">AA18+1</f>
        <v>46375</v>
      </c>
      <c r="AC18" s="12">
        <f t="shared" ref="AC18" si="151">AB18+1</f>
        <v>46376</v>
      </c>
      <c r="AD18" s="12">
        <f t="shared" ref="AD18" si="152">AC18+1</f>
        <v>46377</v>
      </c>
    </row>
    <row r="19" spans="2:30" ht="30" customHeight="1">
      <c r="B19" s="13"/>
      <c r="C19" s="22" t="s">
        <v>6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4" t="s">
        <v>2</v>
      </c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2:30" ht="30" customHeight="1">
      <c r="B20" s="13"/>
      <c r="C20" s="6" t="str">
        <f>LOWER(TEXT(C22, "m월"))</f>
        <v>12월</v>
      </c>
      <c r="D20" s="7" t="str">
        <f t="shared" ref="D20" si="153">IF(TEXT(D22,"m월")=TEXT(C22,"m월"),"",LOWER(TEXT(D22,"m월")))</f>
        <v/>
      </c>
      <c r="E20" s="7" t="str">
        <f t="shared" ref="E20" si="154">IF(TEXT(E22,"m월")=TEXT(D22,"m월"),"",LOWER(TEXT(E22,"m월")))</f>
        <v/>
      </c>
      <c r="F20" s="7" t="str">
        <f t="shared" ref="F20" si="155">IF(TEXT(F22,"m월")=TEXT(E22,"m월"),"",LOWER(TEXT(F22,"m월")))</f>
        <v/>
      </c>
      <c r="G20" s="7" t="str">
        <f t="shared" ref="G20" si="156">IF(TEXT(G22,"m월")=TEXT(F22,"m월"),"",LOWER(TEXT(G22,"m월")))</f>
        <v/>
      </c>
      <c r="H20" s="7" t="str">
        <f t="shared" ref="H20" si="157">IF(TEXT(H22,"m월")=TEXT(G22,"m월"),"",LOWER(TEXT(H22,"m월")))</f>
        <v/>
      </c>
      <c r="I20" s="7" t="str">
        <f>IF(TEXT(I22,"m월")=TEXT(H22,"m월"),"",LOWER(TEXT(I22,"m월")))</f>
        <v/>
      </c>
      <c r="J20" s="8" t="str">
        <f>LOWER(TEXT(J22,"m월"))</f>
        <v>12월</v>
      </c>
      <c r="K20" s="8" t="str">
        <f t="shared" ref="K20" si="158">IF(TEXT(K22,"m월")=TEXT(J22,"m월"),"",LOWER(TEXT(K22,"m월")))</f>
        <v/>
      </c>
      <c r="L20" s="8" t="str">
        <f t="shared" ref="L20" si="159">IF(TEXT(L22,"m월")=TEXT(K22,"m월"),"",LOWER(TEXT(L22,"m월")))</f>
        <v/>
      </c>
      <c r="M20" s="8" t="str">
        <f t="shared" ref="M20" si="160">IF(TEXT(M22,"m월")=TEXT(L22,"m월"),"",LOWER(TEXT(M22,"m월")))</f>
        <v>1월</v>
      </c>
      <c r="N20" s="8" t="str">
        <f t="shared" ref="N20" si="161">IF(TEXT(N22,"m월")=TEXT(M22,"m월"),"",LOWER(TEXT(N22,"m월")))</f>
        <v/>
      </c>
      <c r="O20" s="8" t="str">
        <f t="shared" ref="O20" si="162">IF(TEXT(O22,"m월")=TEXT(N22,"m월"),"",LOWER(TEXT(O22,"m월")))</f>
        <v/>
      </c>
      <c r="P20" s="8" t="str">
        <f>IF(TEXT(P22,"m월")=TEXT(O22,"m월"),"",LOWER(TEXT(P22,"m월")))</f>
        <v/>
      </c>
      <c r="Q20" s="7" t="str">
        <f>LOWER(TEXT(Q22,"m월"))</f>
        <v>1월</v>
      </c>
      <c r="R20" s="7" t="str">
        <f t="shared" ref="R20" si="163">IF(TEXT(R22,"m월")=TEXT(Q22,"m월"),"",LOWER(TEXT(R22,"m월")))</f>
        <v/>
      </c>
      <c r="S20" s="7" t="str">
        <f t="shared" ref="S20" si="164">IF(TEXT(S22,"m월")=TEXT(R22,"m월"),"",LOWER(TEXT(S22,"m월")))</f>
        <v/>
      </c>
      <c r="T20" s="7" t="str">
        <f t="shared" ref="T20" si="165">IF(TEXT(T22,"m월")=TEXT(S22,"m월"),"",LOWER(TEXT(T22,"m월")))</f>
        <v/>
      </c>
      <c r="U20" s="7" t="str">
        <f t="shared" ref="U20" si="166">IF(TEXT(U22,"m월")=TEXT(T22,"m월"),"",LOWER(TEXT(U22,"m월")))</f>
        <v/>
      </c>
      <c r="V20" s="7" t="str">
        <f t="shared" ref="V20" si="167">IF(TEXT(V22,"m월")=TEXT(U22,"m월"),"",LOWER(TEXT(V22,"m월")))</f>
        <v/>
      </c>
      <c r="W20" s="7" t="str">
        <f t="shared" ref="W20" si="168">IF(TEXT(W22,"m월")=TEXT(V22,"m월"),"",LOWER(TEXT(W22,"m월")))</f>
        <v/>
      </c>
      <c r="X20" s="8" t="str">
        <f>LOWER(TEXT(X22,"m월"))</f>
        <v>1월</v>
      </c>
      <c r="Y20" s="8" t="str">
        <f t="shared" ref="Y20" si="169">IF(TEXT(Y22,"m월")=TEXT(X22,"m월"),"",LOWER(TEXT(Y22,"m월")))</f>
        <v/>
      </c>
      <c r="Z20" s="8" t="str">
        <f t="shared" ref="Z20" si="170">IF(TEXT(Z22,"m월")=TEXT(Y22,"m월"),"",LOWER(TEXT(Z22,"m월")))</f>
        <v/>
      </c>
      <c r="AA20" s="8" t="str">
        <f t="shared" ref="AA20" si="171">IF(TEXT(AA22,"m월")=TEXT(Z22,"m월"),"",LOWER(TEXT(AA22,"m월")))</f>
        <v/>
      </c>
      <c r="AB20" s="8" t="str">
        <f t="shared" ref="AB20" si="172">IF(TEXT(AB22,"m월")=TEXT(AA22,"m월"),"",LOWER(TEXT(AB22,"m월")))</f>
        <v/>
      </c>
      <c r="AC20" s="8" t="str">
        <f t="shared" ref="AC20" si="173">IF(TEXT(AC22,"m월")=TEXT(AB22,"m월"),"",LOWER(TEXT(AC22,"m월")))</f>
        <v/>
      </c>
      <c r="AD20" s="8" t="str">
        <f t="shared" ref="AD20" si="174">IF(TEXT(AD22,"m월")=TEXT(AC22,"m월"),"",LOWER(TEXT(AD22,"m월")))</f>
        <v/>
      </c>
    </row>
    <row r="21" spans="2:30" ht="30" customHeight="1">
      <c r="B21" s="13"/>
      <c r="C21" s="9" t="str">
        <f>LOWER(TEXT(C22,"aaa"))</f>
        <v>화</v>
      </c>
      <c r="D21" s="9" t="str">
        <f t="shared" ref="D21:AD21" si="175">LOWER(TEXT(D22,"aaa"))</f>
        <v>수</v>
      </c>
      <c r="E21" s="9" t="str">
        <f t="shared" si="175"/>
        <v>목</v>
      </c>
      <c r="F21" s="9" t="str">
        <f t="shared" si="175"/>
        <v>금</v>
      </c>
      <c r="G21" s="9" t="str">
        <f t="shared" si="175"/>
        <v>토</v>
      </c>
      <c r="H21" s="9" t="str">
        <f t="shared" si="175"/>
        <v>일</v>
      </c>
      <c r="I21" s="9" t="str">
        <f t="shared" si="175"/>
        <v>월</v>
      </c>
      <c r="J21" s="10" t="str">
        <f t="shared" si="175"/>
        <v>화</v>
      </c>
      <c r="K21" s="10" t="str">
        <f t="shared" si="175"/>
        <v>수</v>
      </c>
      <c r="L21" s="10" t="str">
        <f t="shared" si="175"/>
        <v>목</v>
      </c>
      <c r="M21" s="10" t="str">
        <f t="shared" si="175"/>
        <v>금</v>
      </c>
      <c r="N21" s="10" t="str">
        <f t="shared" si="175"/>
        <v>토</v>
      </c>
      <c r="O21" s="10" t="str">
        <f t="shared" si="175"/>
        <v>일</v>
      </c>
      <c r="P21" s="10" t="str">
        <f t="shared" si="175"/>
        <v>월</v>
      </c>
      <c r="Q21" s="9" t="str">
        <f t="shared" si="175"/>
        <v>화</v>
      </c>
      <c r="R21" s="9" t="str">
        <f t="shared" si="175"/>
        <v>수</v>
      </c>
      <c r="S21" s="9" t="str">
        <f t="shared" si="175"/>
        <v>목</v>
      </c>
      <c r="T21" s="9" t="str">
        <f t="shared" si="175"/>
        <v>금</v>
      </c>
      <c r="U21" s="9" t="str">
        <f t="shared" si="175"/>
        <v>토</v>
      </c>
      <c r="V21" s="9" t="str">
        <f t="shared" si="175"/>
        <v>일</v>
      </c>
      <c r="W21" s="9" t="str">
        <f t="shared" si="175"/>
        <v>월</v>
      </c>
      <c r="X21" s="10" t="str">
        <f t="shared" si="175"/>
        <v>화</v>
      </c>
      <c r="Y21" s="10" t="str">
        <f t="shared" si="175"/>
        <v>수</v>
      </c>
      <c r="Z21" s="10" t="str">
        <f t="shared" si="175"/>
        <v>목</v>
      </c>
      <c r="AA21" s="10" t="str">
        <f t="shared" si="175"/>
        <v>금</v>
      </c>
      <c r="AB21" s="10" t="str">
        <f t="shared" si="175"/>
        <v>토</v>
      </c>
      <c r="AC21" s="10" t="str">
        <f t="shared" si="175"/>
        <v>일</v>
      </c>
      <c r="AD21" s="10" t="str">
        <f t="shared" si="175"/>
        <v>월</v>
      </c>
    </row>
    <row r="22" spans="2:30" ht="30" customHeight="1" thickBot="1">
      <c r="B22" s="13"/>
      <c r="C22" s="11">
        <f>AD18+1</f>
        <v>46378</v>
      </c>
      <c r="D22" s="11">
        <f>C22+1</f>
        <v>46379</v>
      </c>
      <c r="E22" s="11">
        <f t="shared" ref="E22" si="176">D22+1</f>
        <v>46380</v>
      </c>
      <c r="F22" s="11">
        <f t="shared" ref="F22" si="177">E22+1</f>
        <v>46381</v>
      </c>
      <c r="G22" s="11">
        <f t="shared" ref="G22" si="178">F22+1</f>
        <v>46382</v>
      </c>
      <c r="H22" s="11">
        <f t="shared" ref="H22" si="179">G22+1</f>
        <v>46383</v>
      </c>
      <c r="I22" s="11">
        <f>H22+1</f>
        <v>46384</v>
      </c>
      <c r="J22" s="12">
        <f t="shared" ref="J22" si="180">I22+1</f>
        <v>46385</v>
      </c>
      <c r="K22" s="12">
        <f t="shared" ref="K22" si="181">J22+1</f>
        <v>46386</v>
      </c>
      <c r="L22" s="12">
        <f t="shared" ref="L22" si="182">K22+1</f>
        <v>46387</v>
      </c>
      <c r="M22" s="12">
        <f t="shared" ref="M22" si="183">L22+1</f>
        <v>46388</v>
      </c>
      <c r="N22" s="12">
        <f t="shared" ref="N22" si="184">M22+1</f>
        <v>46389</v>
      </c>
      <c r="O22" s="12">
        <f t="shared" ref="O22" si="185">N22+1</f>
        <v>46390</v>
      </c>
      <c r="P22" s="12">
        <f>O22+1</f>
        <v>46391</v>
      </c>
      <c r="Q22" s="11">
        <f t="shared" ref="Q22" si="186">P22+1</f>
        <v>46392</v>
      </c>
      <c r="R22" s="11">
        <f t="shared" ref="R22" si="187">Q22+1</f>
        <v>46393</v>
      </c>
      <c r="S22" s="11">
        <f t="shared" ref="S22" si="188">R22+1</f>
        <v>46394</v>
      </c>
      <c r="T22" s="11">
        <f t="shared" ref="T22" si="189">S22+1</f>
        <v>46395</v>
      </c>
      <c r="U22" s="11">
        <f t="shared" ref="U22" si="190">T22+1</f>
        <v>46396</v>
      </c>
      <c r="V22" s="11">
        <f t="shared" ref="V22" si="191">U22+1</f>
        <v>46397</v>
      </c>
      <c r="W22" s="11">
        <f t="shared" ref="W22" si="192">V22+1</f>
        <v>46398</v>
      </c>
      <c r="X22" s="12">
        <f t="shared" ref="X22" si="193">W22+1</f>
        <v>46399</v>
      </c>
      <c r="Y22" s="12">
        <f t="shared" ref="Y22" si="194">X22+1</f>
        <v>46400</v>
      </c>
      <c r="Z22" s="12">
        <f t="shared" ref="Z22" si="195">Y22+1</f>
        <v>46401</v>
      </c>
      <c r="AA22" s="12">
        <f t="shared" ref="AA22" si="196">Z22+1</f>
        <v>46402</v>
      </c>
      <c r="AB22" s="12">
        <f t="shared" ref="AB22" si="197">AA22+1</f>
        <v>46403</v>
      </c>
      <c r="AC22" s="12">
        <f t="shared" ref="AC22" si="198">AB22+1</f>
        <v>46404</v>
      </c>
      <c r="AD22" s="12">
        <f t="shared" ref="AD22" si="199">AC22+1</f>
        <v>46405</v>
      </c>
    </row>
  </sheetData>
  <mergeCells count="14">
    <mergeCell ref="Q11:W11"/>
    <mergeCell ref="X11:AD11"/>
    <mergeCell ref="C15:P15"/>
    <mergeCell ref="Q15:W15"/>
    <mergeCell ref="C11:P11"/>
    <mergeCell ref="X15:AD15"/>
    <mergeCell ref="C19:P19"/>
    <mergeCell ref="Q19:AD19"/>
    <mergeCell ref="B1:AD1"/>
    <mergeCell ref="C2:E2"/>
    <mergeCell ref="C7:I7"/>
    <mergeCell ref="J7:P7"/>
    <mergeCell ref="Q7:W7"/>
    <mergeCell ref="X7:AD7"/>
  </mergeCells>
  <phoneticPr fontId="20" type="noConversion"/>
  <conditionalFormatting sqref="C5:AD6">
    <cfRule type="expression" dxfId="4" priority="7">
      <formula>C$6=TODAY()</formula>
    </cfRule>
  </conditionalFormatting>
  <conditionalFormatting sqref="C9:AD10">
    <cfRule type="expression" dxfId="3" priority="6">
      <formula>C$6=TODAY()</formula>
    </cfRule>
  </conditionalFormatting>
  <conditionalFormatting sqref="C13:AD14">
    <cfRule type="expression" dxfId="2" priority="5">
      <formula>C$6=TODAY()</formula>
    </cfRule>
  </conditionalFormatting>
  <conditionalFormatting sqref="C17:AD18">
    <cfRule type="expression" dxfId="1" priority="4">
      <formula>C$6=TODAY()</formula>
    </cfRule>
  </conditionalFormatting>
  <conditionalFormatting sqref="C21:AD22">
    <cfRule type="expression" dxfId="0" priority="3">
      <formula>C$6=TODAY()</formula>
    </cfRule>
  </conditionalFormatting>
  <dataValidations count="7">
    <dataValidation allowBlank="1" showInputMessage="1" showErrorMessage="1" prompt="이 워크시트에서 프로젝트 시간 표시 막대를 만듭니다. C2 셀에서 시작 날짜를 입력하고 기타 세부 정보를 B4 셀에서 시작합니다." sqref="A1" xr:uid="{00000000-0002-0000-0000-000000000000}"/>
    <dataValidation allowBlank="1" showInputMessage="1" showErrorMessage="1" prompt="오른쪽 셀에 시작 날짜를 입력합니다." sqref="B2" xr:uid="{00000000-0002-0000-0000-000001000000}"/>
    <dataValidation allowBlank="1" showInputMessage="1" showErrorMessage="1" prompt="이 셀에 시작 날짜를 입력합니다." sqref="C2:E2" xr:uid="{00000000-0002-0000-0000-000002000000}"/>
    <dataValidation allowBlank="1" showInputMessage="1" showErrorMessage="1" prompt="이 셀에는 이 워크시트의 제목이 표시됩니다." sqref="B1:AD1" xr:uid="{00000000-0002-0000-0000-000003000000}"/>
    <dataValidation allowBlank="1" showInputMessage="1" showErrorMessage="1" prompt="요일이 이 행에서 자동으로 업데이트됩니다. 아래에 있는 셀에 담당자 이름을 입력하고 이름 오른쪽에 있는 행에 작업을 입력합니다." sqref="B6" xr:uid="{00000000-0002-0000-0000-000004000000}"/>
    <dataValidation allowBlank="1" showInputMessage="1" showErrorMessage="1" prompt="월이 이 행에서 자동으로 업데이트됩니다." sqref="B4" xr:uid="{00000000-0002-0000-0000-000005000000}"/>
    <dataValidation allowBlank="1" showInputMessage="1" showErrorMessage="1" prompt="평일이 이 행에서 자동으로 업데이트됩니다." sqref="B5" xr:uid="{00000000-0002-0000-0000-000006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ignoredErrors>
    <ignoredError sqref="J4 Q4 X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시간 표시 막대</vt:lpstr>
      <vt:lpstr>'프로젝트 시간 표시 막대'!Print_Titles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2019-05-17T03:36:33Z</dcterms:created>
  <dcterms:modified xsi:type="dcterms:W3CDTF">2026-09-04T14:40:46Z</dcterms:modified>
</cp:coreProperties>
</file>