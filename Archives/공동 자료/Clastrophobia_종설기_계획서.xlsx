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F6BB2EFE-F490-40D0-B8B1-A286098973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2" i="1" s="1"/>
  <c r="AC5" i="1"/>
  <c r="C11" i="1" l="1"/>
  <c r="C10" i="1"/>
  <c r="D12" i="1"/>
  <c r="AD4" i="1"/>
  <c r="AD5" i="1"/>
  <c r="D10" i="1" l="1"/>
  <c r="D11" i="1"/>
  <c r="E12" i="1"/>
  <c r="E11" i="1" l="1"/>
  <c r="E10" i="1"/>
  <c r="F12" i="1"/>
  <c r="F11" i="1" l="1"/>
  <c r="G12" i="1"/>
  <c r="F10" i="1"/>
  <c r="H12" i="1" l="1"/>
  <c r="G10" i="1"/>
  <c r="G11" i="1"/>
  <c r="H11" i="1" l="1"/>
  <c r="I12" i="1"/>
  <c r="H10" i="1"/>
  <c r="I10" i="1" l="1"/>
  <c r="J12" i="1"/>
  <c r="I11" i="1"/>
  <c r="K12" i="1" l="1"/>
  <c r="J11" i="1"/>
  <c r="J10" i="1"/>
  <c r="L12" i="1" l="1"/>
  <c r="K10" i="1"/>
  <c r="K11" i="1"/>
  <c r="M12" i="1" l="1"/>
  <c r="L10" i="1"/>
  <c r="L11" i="1"/>
  <c r="N12" i="1" l="1"/>
  <c r="M11" i="1"/>
  <c r="M10" i="1"/>
  <c r="N10" i="1" l="1"/>
  <c r="N11" i="1"/>
  <c r="O12" i="1"/>
  <c r="O11" i="1" l="1"/>
  <c r="P12" i="1"/>
  <c r="O10" i="1"/>
  <c r="P10" i="1" l="1"/>
  <c r="P11" i="1"/>
  <c r="Q12" i="1"/>
  <c r="Q11" i="1" l="1"/>
  <c r="Q10" i="1"/>
  <c r="R12" i="1"/>
  <c r="R11" i="1" l="1"/>
  <c r="S12" i="1"/>
  <c r="R10" i="1"/>
  <c r="T12" i="1" l="1"/>
  <c r="S11" i="1"/>
  <c r="S10" i="1"/>
  <c r="T10" i="1" l="1"/>
  <c r="T11" i="1"/>
  <c r="U12" i="1"/>
  <c r="U11" i="1" l="1"/>
  <c r="U10" i="1"/>
  <c r="V12" i="1"/>
  <c r="W12" i="1" l="1"/>
  <c r="V10" i="1"/>
  <c r="V11" i="1"/>
  <c r="X12" i="1" l="1"/>
  <c r="W10" i="1"/>
  <c r="W11" i="1"/>
  <c r="Y12" i="1" l="1"/>
  <c r="X10" i="1"/>
  <c r="X11" i="1"/>
  <c r="Y11" i="1" l="1"/>
  <c r="Z12" i="1"/>
  <c r="Y10" i="1"/>
  <c r="Z11" i="1" l="1"/>
  <c r="Z10" i="1"/>
  <c r="AA12" i="1"/>
  <c r="AA11" i="1" l="1"/>
  <c r="AA10" i="1"/>
  <c r="AB12" i="1"/>
  <c r="AC12" i="1" l="1"/>
  <c r="AB10" i="1"/>
  <c r="AB11" i="1"/>
  <c r="AC11" i="1" l="1"/>
  <c r="AD12" i="1"/>
  <c r="AC10" i="1"/>
  <c r="C18" i="1" l="1"/>
  <c r="AD10" i="1"/>
  <c r="AD11" i="1"/>
  <c r="D18" i="1" l="1"/>
  <c r="C16" i="1"/>
  <c r="C17" i="1"/>
  <c r="D16" i="1" l="1"/>
  <c r="E18" i="1"/>
  <c r="D17" i="1"/>
  <c r="E17" i="1" l="1"/>
  <c r="E16" i="1"/>
  <c r="F18" i="1"/>
  <c r="F16" i="1" l="1"/>
  <c r="G18" i="1"/>
  <c r="F17" i="1"/>
  <c r="H18" i="1" l="1"/>
  <c r="G16" i="1"/>
  <c r="G17" i="1"/>
  <c r="H16" i="1" l="1"/>
  <c r="I18" i="1"/>
  <c r="H17" i="1"/>
  <c r="I16" i="1" l="1"/>
  <c r="J18" i="1"/>
  <c r="I17" i="1"/>
  <c r="K18" i="1" l="1"/>
  <c r="J17" i="1"/>
  <c r="J16" i="1"/>
  <c r="L18" i="1" l="1"/>
  <c r="K17" i="1"/>
  <c r="K16" i="1"/>
  <c r="M18" i="1" l="1"/>
  <c r="L17" i="1"/>
  <c r="L16" i="1"/>
  <c r="M17" i="1" l="1"/>
  <c r="N18" i="1"/>
  <c r="M16" i="1"/>
  <c r="N17" i="1" l="1"/>
  <c r="O18" i="1"/>
  <c r="N16" i="1"/>
  <c r="O17" i="1" l="1"/>
  <c r="P18" i="1"/>
  <c r="O16" i="1"/>
  <c r="P17" i="1" l="1"/>
  <c r="Q18" i="1"/>
  <c r="P16" i="1"/>
  <c r="Q17" i="1" l="1"/>
  <c r="Q16" i="1"/>
  <c r="R18" i="1"/>
  <c r="R16" i="1" l="1"/>
  <c r="R17" i="1"/>
  <c r="S18" i="1"/>
  <c r="S16" i="1" l="1"/>
  <c r="S17" i="1"/>
  <c r="T18" i="1"/>
  <c r="U18" i="1" l="1"/>
  <c r="T16" i="1"/>
  <c r="T17" i="1"/>
  <c r="U16" i="1" l="1"/>
  <c r="V18" i="1"/>
  <c r="U17" i="1"/>
  <c r="W18" i="1" l="1"/>
  <c r="V16" i="1"/>
  <c r="V17" i="1"/>
  <c r="X18" i="1" l="1"/>
  <c r="W17" i="1"/>
  <c r="W16" i="1"/>
  <c r="Y18" i="1" l="1"/>
  <c r="X17" i="1"/>
  <c r="X16" i="1"/>
  <c r="Y17" i="1" l="1"/>
  <c r="Y16" i="1"/>
  <c r="Z18" i="1"/>
  <c r="Z16" i="1" l="1"/>
  <c r="Z17" i="1"/>
  <c r="AA18" i="1"/>
  <c r="AA17" i="1" l="1"/>
  <c r="AA16" i="1"/>
  <c r="AB18" i="1"/>
  <c r="AB17" i="1" l="1"/>
  <c r="AB16" i="1"/>
  <c r="AC18" i="1"/>
  <c r="AC16" i="1" l="1"/>
  <c r="AD18" i="1"/>
  <c r="AC17" i="1"/>
  <c r="C24" i="1" l="1"/>
  <c r="AD17" i="1"/>
  <c r="AD16" i="1"/>
  <c r="C23" i="1" l="1"/>
  <c r="D24" i="1"/>
  <c r="C22" i="1"/>
  <c r="D23" i="1" l="1"/>
  <c r="D22" i="1"/>
  <c r="E24" i="1"/>
  <c r="E22" i="1" l="1"/>
  <c r="E23" i="1"/>
  <c r="F24" i="1"/>
  <c r="F22" i="1" l="1"/>
  <c r="F23" i="1"/>
  <c r="G24" i="1"/>
  <c r="G23" i="1" l="1"/>
  <c r="H24" i="1"/>
  <c r="G22" i="1"/>
  <c r="I24" i="1" l="1"/>
  <c r="H23" i="1"/>
  <c r="H22" i="1"/>
  <c r="I22" i="1" l="1"/>
  <c r="J24" i="1"/>
  <c r="I23" i="1"/>
  <c r="K24" i="1" l="1"/>
  <c r="J22" i="1"/>
  <c r="J23" i="1"/>
  <c r="K22" i="1" l="1"/>
  <c r="K23" i="1"/>
  <c r="L24" i="1"/>
  <c r="M24" i="1" l="1"/>
  <c r="L23" i="1"/>
  <c r="L22" i="1"/>
  <c r="M23" i="1" l="1"/>
  <c r="N24" i="1"/>
  <c r="M22" i="1"/>
  <c r="O24" i="1" l="1"/>
  <c r="N23" i="1"/>
  <c r="N22" i="1"/>
  <c r="O23" i="1" l="1"/>
  <c r="P24" i="1"/>
  <c r="O22" i="1"/>
  <c r="P22" i="1" l="1"/>
  <c r="P23" i="1"/>
  <c r="Q24" i="1"/>
  <c r="R24" i="1" l="1"/>
  <c r="Q22" i="1"/>
  <c r="Q23" i="1"/>
  <c r="S24" i="1" l="1"/>
  <c r="R23" i="1"/>
  <c r="R22" i="1"/>
  <c r="S22" i="1" l="1"/>
  <c r="S23" i="1"/>
  <c r="T24" i="1"/>
  <c r="T22" i="1" l="1"/>
  <c r="T23" i="1"/>
  <c r="U24" i="1"/>
  <c r="V24" i="1" l="1"/>
  <c r="U23" i="1"/>
  <c r="U22" i="1"/>
  <c r="V23" i="1" l="1"/>
  <c r="V22" i="1"/>
  <c r="W24" i="1"/>
  <c r="X24" i="1" l="1"/>
  <c r="W23" i="1"/>
  <c r="W22" i="1"/>
  <c r="X23" i="1" l="1"/>
  <c r="X22" i="1"/>
  <c r="Y24" i="1"/>
  <c r="Y23" i="1" l="1"/>
  <c r="Z24" i="1"/>
  <c r="Y22" i="1"/>
  <c r="Z22" i="1" l="1"/>
  <c r="AA24" i="1"/>
  <c r="Z23" i="1"/>
  <c r="AA23" i="1" l="1"/>
  <c r="AB24" i="1"/>
  <c r="AA22" i="1"/>
  <c r="AB23" i="1" l="1"/>
  <c r="AC24" i="1"/>
  <c r="AB22" i="1"/>
  <c r="AC23" i="1" l="1"/>
  <c r="AC22" i="1"/>
  <c r="AD24" i="1"/>
  <c r="C30" i="1" l="1"/>
  <c r="AD22" i="1"/>
  <c r="AD23" i="1"/>
  <c r="D30" i="1" l="1"/>
  <c r="C28" i="1"/>
  <c r="C29" i="1"/>
  <c r="D29" i="1" l="1"/>
  <c r="E30" i="1"/>
  <c r="D28" i="1"/>
  <c r="E29" i="1" l="1"/>
  <c r="F30" i="1"/>
  <c r="E28" i="1"/>
  <c r="F28" i="1" l="1"/>
  <c r="G30" i="1"/>
  <c r="F29" i="1"/>
  <c r="G28" i="1" l="1"/>
  <c r="H30" i="1"/>
  <c r="G29" i="1"/>
  <c r="I30" i="1" l="1"/>
  <c r="H28" i="1"/>
  <c r="H29" i="1"/>
  <c r="I28" i="1" l="1"/>
  <c r="I29" i="1"/>
  <c r="J30" i="1"/>
  <c r="K30" i="1" l="1"/>
  <c r="J29" i="1"/>
  <c r="J28" i="1"/>
  <c r="L30" i="1" l="1"/>
  <c r="K28" i="1"/>
  <c r="K29" i="1"/>
  <c r="L28" i="1" l="1"/>
  <c r="M30" i="1"/>
  <c r="L29" i="1"/>
  <c r="N30" i="1" l="1"/>
  <c r="M29" i="1"/>
  <c r="M28" i="1"/>
  <c r="N29" i="1" l="1"/>
  <c r="N28" i="1"/>
  <c r="O30" i="1"/>
  <c r="O28" i="1" l="1"/>
  <c r="O29" i="1"/>
  <c r="P30" i="1"/>
  <c r="P28" i="1" l="1"/>
  <c r="Q30" i="1"/>
  <c r="P29" i="1"/>
  <c r="Q29" i="1" l="1"/>
  <c r="Q28" i="1"/>
  <c r="R30" i="1"/>
  <c r="R28" i="1" l="1"/>
  <c r="S30" i="1"/>
  <c r="R29" i="1"/>
  <c r="S29" i="1" l="1"/>
  <c r="T30" i="1"/>
  <c r="S28" i="1"/>
  <c r="T28" i="1" l="1"/>
  <c r="T29" i="1"/>
  <c r="U30" i="1"/>
  <c r="V30" i="1" l="1"/>
  <c r="U28" i="1"/>
  <c r="U29" i="1"/>
  <c r="W30" i="1" l="1"/>
  <c r="V28" i="1"/>
  <c r="V29" i="1"/>
  <c r="X30" i="1" l="1"/>
  <c r="W28" i="1"/>
  <c r="W29" i="1"/>
  <c r="X28" i="1" l="1"/>
  <c r="X29" i="1"/>
  <c r="Y30" i="1"/>
  <c r="Z30" i="1" l="1"/>
  <c r="Y28" i="1"/>
  <c r="Y29" i="1"/>
  <c r="AA30" i="1" l="1"/>
  <c r="Z29" i="1"/>
  <c r="Z28" i="1"/>
  <c r="AA28" i="1" l="1"/>
  <c r="AB30" i="1"/>
  <c r="AA29" i="1"/>
  <c r="AB29" i="1" l="1"/>
  <c r="AC30" i="1"/>
  <c r="AB28" i="1"/>
  <c r="AD30" i="1" l="1"/>
  <c r="AC29" i="1"/>
  <c r="AC28" i="1"/>
  <c r="AD29" i="1" l="1"/>
  <c r="AD28" i="1"/>
</calcChain>
</file>

<file path=xl/sharedStrings.xml><?xml version="1.0" encoding="utf-8"?>
<sst xmlns="http://schemas.openxmlformats.org/spreadsheetml/2006/main" count="45" uniqueCount="35">
  <si>
    <t xml:space="preserve"> 시작 날짜:</t>
  </si>
  <si>
    <t>졸업작품 제안서 발표 계획서</t>
    <phoneticPr fontId="20" type="noConversion"/>
  </si>
  <si>
    <t>2학기 과목 수강 및 배운 내용 복습</t>
    <phoneticPr fontId="20" type="noConversion"/>
  </si>
  <si>
    <t>담당자:</t>
    <phoneticPr fontId="20" type="noConversion"/>
  </si>
  <si>
    <t>중점연구분야 조사</t>
    <phoneticPr fontId="20" type="noConversion"/>
  </si>
  <si>
    <t>포톤 서버 개념 조사</t>
    <phoneticPr fontId="20" type="noConversion"/>
  </si>
  <si>
    <t>피격, 임무 완료 등 이벤트 동기화 및 예외처리</t>
    <phoneticPr fontId="20" type="noConversion"/>
  </si>
  <si>
    <t>탱크 이외의 오브젝트 위치 동기화</t>
    <phoneticPr fontId="20" type="noConversion"/>
  </si>
  <si>
    <t>Tcp/Ip 소켓 개념 정리</t>
    <phoneticPr fontId="20" type="noConversion"/>
  </si>
  <si>
    <t>포톤 서버 이용해서 호스트가 방 생성</t>
    <phoneticPr fontId="20" type="noConversion"/>
  </si>
  <si>
    <t>호스트와 게스트 2명 총 3명의 위치 동기화</t>
    <phoneticPr fontId="20" type="noConversion"/>
  </si>
  <si>
    <t>호스트와 게스트가 전송해야 할 데이터 정리</t>
    <phoneticPr fontId="20" type="noConversion"/>
  </si>
  <si>
    <t>tcp, udp 중 프로토콜 결정</t>
    <phoneticPr fontId="20" type="noConversion"/>
  </si>
  <si>
    <t>탱크 내부 오브젝트 상태 동기화</t>
    <phoneticPr fontId="20" type="noConversion"/>
  </si>
  <si>
    <t>탱크 외각 움직임 동기화</t>
    <phoneticPr fontId="20" type="noConversion"/>
  </si>
  <si>
    <t>Unity Behavior 및 AI 관련 기능 공부</t>
    <phoneticPr fontId="20" type="noConversion"/>
  </si>
  <si>
    <t>적 전차 기본 AI 제작</t>
    <phoneticPr fontId="20" type="noConversion"/>
  </si>
  <si>
    <t>중점연구 AI 시스템 설계</t>
    <phoneticPr fontId="20" type="noConversion"/>
  </si>
  <si>
    <t>중점연구 AI 시스템 제작</t>
  </si>
  <si>
    <t>중점연구 AI 시스템 제작</t>
    <phoneticPr fontId="20" type="noConversion"/>
  </si>
  <si>
    <t>게임 시스템과 AI 연동</t>
    <phoneticPr fontId="20" type="noConversion"/>
  </si>
  <si>
    <t>클라이언트 개발 보조</t>
    <phoneticPr fontId="20" type="noConversion"/>
  </si>
  <si>
    <t>AI 테스트·개선 및 최적화</t>
    <phoneticPr fontId="20" type="noConversion"/>
  </si>
  <si>
    <t>통합 및 부족한 내용 보완</t>
    <phoneticPr fontId="20" type="noConversion"/>
  </si>
  <si>
    <t>계획서 짜기</t>
    <phoneticPr fontId="20" type="noConversion"/>
  </si>
  <si>
    <t>에셋 관련 검색해오기</t>
    <phoneticPr fontId="20" type="noConversion"/>
  </si>
  <si>
    <t>에셋 결정 / 전차 메커니즘 생각해보기</t>
    <phoneticPr fontId="20" type="noConversion"/>
  </si>
  <si>
    <t>졸업작품 제안서 작업</t>
    <phoneticPr fontId="20" type="noConversion"/>
  </si>
  <si>
    <t>전차 이동 설계(조종수)</t>
    <phoneticPr fontId="20" type="noConversion"/>
  </si>
  <si>
    <t>전차 전투 설계(포수및 전차장)</t>
    <phoneticPr fontId="20" type="noConversion"/>
  </si>
  <si>
    <t>설계대로 전차 게임플레이 개발(Non-VR)</t>
    <phoneticPr fontId="20" type="noConversion"/>
  </si>
  <si>
    <t>지금까지 한 내용 바탕으로 보고서 작성 및 마저 개발</t>
    <phoneticPr fontId="20" type="noConversion"/>
  </si>
  <si>
    <t>김성찬</t>
    <phoneticPr fontId="20" type="noConversion"/>
  </si>
  <si>
    <t>손지원</t>
    <phoneticPr fontId="20" type="noConversion"/>
  </si>
  <si>
    <t>송광민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</si>
</sst>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25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</fonts>
  <fills count="5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4F4A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/>
      </top>
      <bottom style="thin">
        <color theme="0" tint="-0.14996795556505021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7" borderId="0" applyNumberFormat="0" applyAlignment="0" applyProtection="0"/>
    <xf numFmtId="0" fontId="9" fillId="8" borderId="0" applyNumberFormat="0" applyAlignment="0" applyProtection="0"/>
    <xf numFmtId="0" fontId="3" fillId="2" borderId="4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3">
      <alignment horizontal="left" vertical="center"/>
    </xf>
    <xf numFmtId="0" fontId="5" fillId="0" borderId="0">
      <alignment horizontal="left" vertical="center"/>
    </xf>
    <xf numFmtId="0" fontId="3" fillId="2" borderId="4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18" fillId="11" borderId="0" applyNumberFormat="0" applyBorder="0" applyAlignment="0" applyProtection="0"/>
    <xf numFmtId="0" fontId="16" fillId="12" borderId="5" applyNumberFormat="0" applyAlignment="0" applyProtection="0"/>
    <xf numFmtId="0" fontId="17" fillId="13" borderId="6" applyNumberFormat="0" applyAlignment="0" applyProtection="0"/>
    <xf numFmtId="0" fontId="15" fillId="13" borderId="5" applyNumberFormat="0" applyAlignment="0" applyProtection="0"/>
    <xf numFmtId="0" fontId="19" fillId="0" borderId="7" applyNumberFormat="0" applyFill="0" applyAlignment="0" applyProtection="0"/>
    <xf numFmtId="0" fontId="10" fillId="14" borderId="8" applyNumberFormat="0" applyAlignment="0" applyProtection="0"/>
    <xf numFmtId="0" fontId="14" fillId="0" borderId="0" applyNumberFormat="0" applyFill="0" applyBorder="0" applyAlignment="0" applyProtection="0"/>
    <xf numFmtId="0" fontId="3" fillId="15" borderId="9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33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179" fontId="23" fillId="3" borderId="0" xfId="9" applyNumberFormat="1" applyFont="1" applyFill="1">
      <alignment horizontal="left" vertical="center"/>
    </xf>
    <xf numFmtId="0" fontId="23" fillId="3" borderId="0" xfId="9" applyFont="1" applyFill="1">
      <alignment horizontal="left" vertical="center"/>
    </xf>
    <xf numFmtId="0" fontId="23" fillId="4" borderId="0" xfId="9" applyFont="1" applyFill="1">
      <alignment horizontal="left" vertical="center"/>
    </xf>
    <xf numFmtId="0" fontId="24" fillId="3" borderId="0" xfId="7" applyFont="1" applyFill="1">
      <alignment horizontal="left" vertical="center"/>
    </xf>
    <xf numFmtId="0" fontId="24" fillId="4" borderId="0" xfId="7" applyFont="1" applyFill="1">
      <alignment horizontal="left" vertical="center"/>
    </xf>
    <xf numFmtId="178" fontId="24" fillId="3" borderId="3" xfId="8" applyFont="1" applyFill="1">
      <alignment horizontal="left" vertical="center"/>
    </xf>
    <xf numFmtId="178" fontId="24" fillId="4" borderId="3" xfId="8" applyFont="1" applyFill="1">
      <alignment horizontal="left" vertical="center"/>
    </xf>
    <xf numFmtId="0" fontId="21" fillId="2" borderId="4" xfId="5" applyFont="1">
      <alignment horizontal="right" wrapText="1" indent="1"/>
    </xf>
    <xf numFmtId="0" fontId="21" fillId="2" borderId="3" xfId="0" applyFont="1" applyFill="1" applyBorder="1" applyAlignment="1">
      <alignment horizontal="center" vertical="center"/>
    </xf>
    <xf numFmtId="0" fontId="21" fillId="40" borderId="11" xfId="0" applyFont="1" applyFill="1" applyBorder="1" applyAlignment="1">
      <alignment horizontal="center" vertical="center"/>
    </xf>
    <xf numFmtId="0" fontId="21" fillId="42" borderId="11" xfId="0" applyFont="1" applyFill="1" applyBorder="1" applyAlignment="1">
      <alignment horizontal="center" vertical="center"/>
    </xf>
    <xf numFmtId="0" fontId="21" fillId="43" borderId="1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46" borderId="11" xfId="0" applyFont="1" applyFill="1" applyBorder="1" applyAlignment="1">
      <alignment horizontal="center" vertical="center"/>
    </xf>
    <xf numFmtId="0" fontId="21" fillId="47" borderId="11" xfId="0" applyFont="1" applyFill="1" applyBorder="1" applyAlignment="1">
      <alignment horizontal="center" vertical="center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0" fillId="0" borderId="11" xfId="0" applyBorder="1" applyAlignment="1">
      <alignment horizontal="center" vertical="center" wrapText="1"/>
    </xf>
    <xf numFmtId="0" fontId="21" fillId="44" borderId="11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0" fontId="21" fillId="48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1" fillId="18" borderId="11" xfId="30" applyBorder="1" applyAlignment="1">
      <alignment horizontal="center" vertical="center"/>
    </xf>
    <xf numFmtId="0" fontId="21" fillId="49" borderId="11" xfId="0" applyFont="1" applyFill="1" applyBorder="1" applyAlignment="1">
      <alignment horizontal="center" vertical="center"/>
    </xf>
    <xf numFmtId="0" fontId="21" fillId="2" borderId="4" xfId="5" applyFont="1" applyAlignment="1">
      <alignment horizontal="center" vertical="center" wrapText="1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5"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30"/>
  <sheetViews>
    <sheetView showGridLines="0" tabSelected="1" topLeftCell="A14" zoomScaleNormal="100" workbookViewId="0">
      <selection activeCell="B25" sqref="B25:B27"/>
    </sheetView>
  </sheetViews>
  <sheetFormatPr defaultColWidth="9" defaultRowHeight="30" customHeight="1"/>
  <cols>
    <col min="1" max="1" width="2.58203125" style="1" customWidth="1"/>
    <col min="2" max="2" width="13.58203125" style="4" customWidth="1"/>
    <col min="3" max="17" width="5.58203125" style="3" customWidth="1"/>
    <col min="18" max="30" width="5.58203125" style="1" customWidth="1"/>
    <col min="31" max="16384" width="9" style="1"/>
  </cols>
  <sheetData>
    <row r="1" spans="2:30" ht="48.75" customHeight="1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2:30" ht="24.75" customHeight="1" thickBot="1">
      <c r="B2" s="2" t="s">
        <v>0</v>
      </c>
      <c r="C2" s="23">
        <f>DATEVALUE("2026/09/01")</f>
        <v>46266</v>
      </c>
      <c r="D2" s="23"/>
      <c r="E2" s="23"/>
    </row>
    <row r="3" spans="2:30" ht="12.75" customHeight="1"/>
    <row r="4" spans="2:30" ht="18.75" customHeight="1">
      <c r="B4" s="5"/>
      <c r="C4" s="6" t="str">
        <f>LOWER(TEXT(C6, "m월"))</f>
        <v>9월</v>
      </c>
      <c r="D4" s="7" t="str">
        <f t="shared" ref="D4:I4" si="0">IF(TEXT(D6,"m월")=TEXT(C6,"m월"),"",LOWER(TEXT(D6,"m월")))</f>
        <v/>
      </c>
      <c r="E4" s="7" t="str">
        <f t="shared" si="0"/>
        <v/>
      </c>
      <c r="F4" s="7" t="str">
        <f t="shared" si="0"/>
        <v/>
      </c>
      <c r="G4" s="7" t="str">
        <f t="shared" si="0"/>
        <v/>
      </c>
      <c r="H4" s="7" t="str">
        <f t="shared" si="0"/>
        <v/>
      </c>
      <c r="I4" s="7" t="str">
        <f t="shared" si="0"/>
        <v/>
      </c>
      <c r="J4" s="8" t="str">
        <f>LOWER(TEXT(J6,"m월"))</f>
        <v>9월</v>
      </c>
      <c r="K4" s="8" t="str">
        <f t="shared" ref="K4:P4" si="1">IF(TEXT(K6,"m월")=TEXT(J6,"m월"),"",LOWER(TEXT(K6,"m월")))</f>
        <v/>
      </c>
      <c r="L4" s="8" t="str">
        <f t="shared" si="1"/>
        <v/>
      </c>
      <c r="M4" s="8" t="str">
        <f t="shared" si="1"/>
        <v/>
      </c>
      <c r="N4" s="8" t="str">
        <f t="shared" si="1"/>
        <v/>
      </c>
      <c r="O4" s="8" t="str">
        <f t="shared" si="1"/>
        <v/>
      </c>
      <c r="P4" s="8" t="str">
        <f t="shared" si="1"/>
        <v/>
      </c>
      <c r="Q4" s="7" t="str">
        <f>LOWER(TEXT(Q6,"m월"))</f>
        <v>9월</v>
      </c>
      <c r="R4" s="7" t="str">
        <f t="shared" ref="R4:W4" si="2">IF(TEXT(R6,"m월")=TEXT(Q6,"m월"),"",LOWER(TEXT(R6,"m월")))</f>
        <v/>
      </c>
      <c r="S4" s="7" t="str">
        <f t="shared" si="2"/>
        <v/>
      </c>
      <c r="T4" s="7" t="str">
        <f t="shared" si="2"/>
        <v/>
      </c>
      <c r="U4" s="7" t="str">
        <f t="shared" si="2"/>
        <v/>
      </c>
      <c r="V4" s="7" t="str">
        <f t="shared" si="2"/>
        <v/>
      </c>
      <c r="W4" s="7" t="str">
        <f t="shared" si="2"/>
        <v/>
      </c>
      <c r="X4" s="8" t="str">
        <f>LOWER(TEXT(X6,"m월"))</f>
        <v>9월</v>
      </c>
      <c r="Y4" s="8" t="str">
        <f t="shared" ref="Y4:AD4" si="3">IF(TEXT(Y6,"m월")=TEXT(X6,"m월"),"",LOWER(TEXT(Y6,"m월")))</f>
        <v/>
      </c>
      <c r="Z4" s="8" t="str">
        <f t="shared" si="3"/>
        <v/>
      </c>
      <c r="AA4" s="8" t="str">
        <f t="shared" si="3"/>
        <v/>
      </c>
      <c r="AB4" s="8" t="str">
        <f t="shared" si="3"/>
        <v/>
      </c>
      <c r="AC4" s="8" t="str">
        <f t="shared" si="3"/>
        <v/>
      </c>
      <c r="AD4" s="8" t="str">
        <f t="shared" si="3"/>
        <v/>
      </c>
    </row>
    <row r="5" spans="2:30" ht="12" customHeight="1">
      <c r="B5" s="5"/>
      <c r="C5" s="9" t="str">
        <f>LOWER(TEXT(C6,"aaa"))</f>
        <v>화</v>
      </c>
      <c r="D5" s="9" t="str">
        <f t="shared" ref="D5:AD5" si="4">LOWER(TEXT(D6,"aaa"))</f>
        <v>수</v>
      </c>
      <c r="E5" s="9" t="str">
        <f t="shared" si="4"/>
        <v>목</v>
      </c>
      <c r="F5" s="9" t="str">
        <f t="shared" si="4"/>
        <v>금</v>
      </c>
      <c r="G5" s="9" t="str">
        <f t="shared" si="4"/>
        <v>토</v>
      </c>
      <c r="H5" s="9" t="str">
        <f t="shared" si="4"/>
        <v>일</v>
      </c>
      <c r="I5" s="9" t="str">
        <f t="shared" si="4"/>
        <v>월</v>
      </c>
      <c r="J5" s="10" t="str">
        <f t="shared" si="4"/>
        <v>화</v>
      </c>
      <c r="K5" s="10" t="str">
        <f t="shared" si="4"/>
        <v>수</v>
      </c>
      <c r="L5" s="10" t="str">
        <f t="shared" si="4"/>
        <v>목</v>
      </c>
      <c r="M5" s="10" t="str">
        <f t="shared" si="4"/>
        <v>금</v>
      </c>
      <c r="N5" s="10" t="str">
        <f t="shared" si="4"/>
        <v>토</v>
      </c>
      <c r="O5" s="10" t="str">
        <f t="shared" si="4"/>
        <v>일</v>
      </c>
      <c r="P5" s="10" t="str">
        <f t="shared" si="4"/>
        <v>월</v>
      </c>
      <c r="Q5" s="9" t="str">
        <f t="shared" si="4"/>
        <v>화</v>
      </c>
      <c r="R5" s="9" t="str">
        <f t="shared" si="4"/>
        <v>수</v>
      </c>
      <c r="S5" s="9" t="str">
        <f t="shared" si="4"/>
        <v>목</v>
      </c>
      <c r="T5" s="9" t="str">
        <f t="shared" si="4"/>
        <v>금</v>
      </c>
      <c r="U5" s="9" t="str">
        <f t="shared" si="4"/>
        <v>토</v>
      </c>
      <c r="V5" s="9" t="str">
        <f t="shared" si="4"/>
        <v>일</v>
      </c>
      <c r="W5" s="9" t="str">
        <f t="shared" si="4"/>
        <v>월</v>
      </c>
      <c r="X5" s="10" t="str">
        <f t="shared" si="4"/>
        <v>화</v>
      </c>
      <c r="Y5" s="10" t="str">
        <f t="shared" si="4"/>
        <v>수</v>
      </c>
      <c r="Z5" s="10" t="str">
        <f t="shared" si="4"/>
        <v>목</v>
      </c>
      <c r="AA5" s="10" t="str">
        <f t="shared" si="4"/>
        <v>금</v>
      </c>
      <c r="AB5" s="10" t="str">
        <f t="shared" si="4"/>
        <v>토</v>
      </c>
      <c r="AC5" s="10" t="str">
        <f t="shared" si="4"/>
        <v>일</v>
      </c>
      <c r="AD5" s="10" t="str">
        <f t="shared" si="4"/>
        <v>월</v>
      </c>
    </row>
    <row r="6" spans="2:30" s="1" customFormat="1" ht="18" customHeight="1" thickBot="1">
      <c r="B6" s="14" t="s">
        <v>3</v>
      </c>
      <c r="C6" s="11">
        <f>C2</f>
        <v>46266</v>
      </c>
      <c r="D6" s="11">
        <f>C6+1</f>
        <v>46267</v>
      </c>
      <c r="E6" s="11">
        <f t="shared" ref="E6:Q6" si="5">D6+1</f>
        <v>46268</v>
      </c>
      <c r="F6" s="11">
        <f t="shared" si="5"/>
        <v>46269</v>
      </c>
      <c r="G6" s="11">
        <f t="shared" si="5"/>
        <v>46270</v>
      </c>
      <c r="H6" s="11">
        <f t="shared" si="5"/>
        <v>46271</v>
      </c>
      <c r="I6" s="11">
        <f t="shared" si="5"/>
        <v>46272</v>
      </c>
      <c r="J6" s="12">
        <f t="shared" si="5"/>
        <v>46273</v>
      </c>
      <c r="K6" s="12">
        <f t="shared" si="5"/>
        <v>46274</v>
      </c>
      <c r="L6" s="12">
        <f t="shared" si="5"/>
        <v>46275</v>
      </c>
      <c r="M6" s="12">
        <f t="shared" si="5"/>
        <v>46276</v>
      </c>
      <c r="N6" s="12">
        <f t="shared" si="5"/>
        <v>46277</v>
      </c>
      <c r="O6" s="12">
        <f t="shared" si="5"/>
        <v>46278</v>
      </c>
      <c r="P6" s="12">
        <f t="shared" si="5"/>
        <v>46279</v>
      </c>
      <c r="Q6" s="11">
        <f t="shared" si="5"/>
        <v>46280</v>
      </c>
      <c r="R6" s="11">
        <f t="shared" ref="R6:X6" si="6">Q6+1</f>
        <v>46281</v>
      </c>
      <c r="S6" s="11">
        <f t="shared" si="6"/>
        <v>46282</v>
      </c>
      <c r="T6" s="11">
        <f t="shared" si="6"/>
        <v>46283</v>
      </c>
      <c r="U6" s="11">
        <f t="shared" si="6"/>
        <v>46284</v>
      </c>
      <c r="V6" s="11">
        <f t="shared" si="6"/>
        <v>46285</v>
      </c>
      <c r="W6" s="11">
        <f t="shared" si="6"/>
        <v>46286</v>
      </c>
      <c r="X6" s="12">
        <f t="shared" si="6"/>
        <v>46287</v>
      </c>
      <c r="Y6" s="12">
        <f t="shared" ref="Y6:AC6" si="7">X6+1</f>
        <v>46288</v>
      </c>
      <c r="Z6" s="12">
        <f t="shared" si="7"/>
        <v>46289</v>
      </c>
      <c r="AA6" s="12">
        <f t="shared" si="7"/>
        <v>46290</v>
      </c>
      <c r="AB6" s="12">
        <f t="shared" si="7"/>
        <v>46291</v>
      </c>
      <c r="AC6" s="12">
        <f t="shared" si="7"/>
        <v>46292</v>
      </c>
      <c r="AD6" s="12">
        <f>AC6+1</f>
        <v>46293</v>
      </c>
    </row>
    <row r="7" spans="2:30" s="1" customFormat="1" ht="30" customHeight="1" thickBot="1">
      <c r="B7" s="32" t="s">
        <v>32</v>
      </c>
      <c r="C7" s="28" t="s">
        <v>15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 t="s">
        <v>16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 spans="2:30" s="1" customFormat="1" ht="30" customHeight="1" thickBot="1">
      <c r="B8" s="32" t="s">
        <v>33</v>
      </c>
      <c r="C8" s="24" t="s">
        <v>24</v>
      </c>
      <c r="D8" s="24"/>
      <c r="E8" s="24"/>
      <c r="F8" s="24"/>
      <c r="G8" s="24"/>
      <c r="H8" s="24"/>
      <c r="I8" s="24"/>
      <c r="J8" s="25" t="s">
        <v>25</v>
      </c>
      <c r="K8" s="25"/>
      <c r="L8" s="25"/>
      <c r="M8" s="25"/>
      <c r="N8" s="25"/>
      <c r="O8" s="25"/>
      <c r="P8" s="25"/>
      <c r="Q8" s="30" t="s">
        <v>26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2:30" s="1" customFormat="1" ht="30" customHeight="1">
      <c r="B9" s="32" t="s">
        <v>34</v>
      </c>
      <c r="C9" s="24" t="s">
        <v>4</v>
      </c>
      <c r="D9" s="24"/>
      <c r="E9" s="24"/>
      <c r="F9" s="24"/>
      <c r="G9" s="24"/>
      <c r="H9" s="24"/>
      <c r="I9" s="24"/>
      <c r="J9" s="25" t="s">
        <v>5</v>
      </c>
      <c r="K9" s="25"/>
      <c r="L9" s="25"/>
      <c r="M9" s="25"/>
      <c r="N9" s="25"/>
      <c r="O9" s="25"/>
      <c r="P9" s="25"/>
      <c r="Q9" s="26" t="s">
        <v>9</v>
      </c>
      <c r="R9" s="26"/>
      <c r="S9" s="26"/>
      <c r="T9" s="26"/>
      <c r="U9" s="26"/>
      <c r="V9" s="26"/>
      <c r="W9" s="26"/>
      <c r="X9" s="27" t="s">
        <v>8</v>
      </c>
      <c r="Y9" s="27"/>
      <c r="Z9" s="27"/>
      <c r="AA9" s="27"/>
      <c r="AB9" s="27"/>
      <c r="AC9" s="27"/>
      <c r="AD9" s="27"/>
    </row>
    <row r="10" spans="2:30" s="1" customFormat="1" ht="30" customHeight="1">
      <c r="B10" s="13"/>
      <c r="C10" s="6" t="str">
        <f>LOWER(TEXT(C12, "m월"))</f>
        <v>9월</v>
      </c>
      <c r="D10" s="7" t="str">
        <f t="shared" ref="D10" si="8">IF(TEXT(D12,"m월")=TEXT(C12,"m월"),"",LOWER(TEXT(D12,"m월")))</f>
        <v/>
      </c>
      <c r="E10" s="7" t="str">
        <f t="shared" ref="E10" si="9">IF(TEXT(E12,"m월")=TEXT(D12,"m월"),"",LOWER(TEXT(E12,"m월")))</f>
        <v>10월</v>
      </c>
      <c r="F10" s="7" t="str">
        <f t="shared" ref="F10" si="10">IF(TEXT(F12,"m월")=TEXT(E12,"m월"),"",LOWER(TEXT(F12,"m월")))</f>
        <v/>
      </c>
      <c r="G10" s="7" t="str">
        <f t="shared" ref="G10" si="11">IF(TEXT(G12,"m월")=TEXT(F12,"m월"),"",LOWER(TEXT(G12,"m월")))</f>
        <v/>
      </c>
      <c r="H10" s="7" t="str">
        <f t="shared" ref="H10" si="12">IF(TEXT(H12,"m월")=TEXT(G12,"m월"),"",LOWER(TEXT(H12,"m월")))</f>
        <v/>
      </c>
      <c r="I10" s="7" t="str">
        <f t="shared" ref="I10" si="13">IF(TEXT(I12,"m월")=TEXT(H12,"m월"),"",LOWER(TEXT(I12,"m월")))</f>
        <v/>
      </c>
      <c r="J10" s="8" t="str">
        <f>LOWER(TEXT(J12,"m월"))</f>
        <v>10월</v>
      </c>
      <c r="K10" s="8" t="str">
        <f t="shared" ref="K10" si="14">IF(TEXT(K12,"m월")=TEXT(J12,"m월"),"",LOWER(TEXT(K12,"m월")))</f>
        <v/>
      </c>
      <c r="L10" s="8" t="str">
        <f t="shared" ref="L10" si="15">IF(TEXT(L12,"m월")=TEXT(K12,"m월"),"",LOWER(TEXT(L12,"m월")))</f>
        <v/>
      </c>
      <c r="M10" s="8" t="str">
        <f t="shared" ref="M10" si="16">IF(TEXT(M12,"m월")=TEXT(L12,"m월"),"",LOWER(TEXT(M12,"m월")))</f>
        <v/>
      </c>
      <c r="N10" s="8" t="str">
        <f t="shared" ref="N10" si="17">IF(TEXT(N12,"m월")=TEXT(M12,"m월"),"",LOWER(TEXT(N12,"m월")))</f>
        <v/>
      </c>
      <c r="O10" s="8" t="str">
        <f t="shared" ref="O10" si="18">IF(TEXT(O12,"m월")=TEXT(N12,"m월"),"",LOWER(TEXT(O12,"m월")))</f>
        <v/>
      </c>
      <c r="P10" s="8" t="str">
        <f t="shared" ref="P10" si="19">IF(TEXT(P12,"m월")=TEXT(O12,"m월"),"",LOWER(TEXT(P12,"m월")))</f>
        <v/>
      </c>
      <c r="Q10" s="7" t="str">
        <f>LOWER(TEXT(Q12,"m월"))</f>
        <v>10월</v>
      </c>
      <c r="R10" s="7" t="str">
        <f t="shared" ref="R10" si="20">IF(TEXT(R12,"m월")=TEXT(Q12,"m월"),"",LOWER(TEXT(R12,"m월")))</f>
        <v/>
      </c>
      <c r="S10" s="7" t="str">
        <f t="shared" ref="S10" si="21">IF(TEXT(S12,"m월")=TEXT(R12,"m월"),"",LOWER(TEXT(S12,"m월")))</f>
        <v/>
      </c>
      <c r="T10" s="7" t="str">
        <f t="shared" ref="T10" si="22">IF(TEXT(T12,"m월")=TEXT(S12,"m월"),"",LOWER(TEXT(T12,"m월")))</f>
        <v/>
      </c>
      <c r="U10" s="7" t="str">
        <f t="shared" ref="U10" si="23">IF(TEXT(U12,"m월")=TEXT(T12,"m월"),"",LOWER(TEXT(U12,"m월")))</f>
        <v/>
      </c>
      <c r="V10" s="7" t="str">
        <f t="shared" ref="V10" si="24">IF(TEXT(V12,"m월")=TEXT(U12,"m월"),"",LOWER(TEXT(V12,"m월")))</f>
        <v/>
      </c>
      <c r="W10" s="7" t="str">
        <f t="shared" ref="W10" si="25">IF(TEXT(W12,"m월")=TEXT(V12,"m월"),"",LOWER(TEXT(W12,"m월")))</f>
        <v/>
      </c>
      <c r="X10" s="8" t="str">
        <f>LOWER(TEXT(X12,"m월"))</f>
        <v>10월</v>
      </c>
      <c r="Y10" s="8" t="str">
        <f t="shared" ref="Y10" si="26">IF(TEXT(Y12,"m월")=TEXT(X12,"m월"),"",LOWER(TEXT(Y12,"m월")))</f>
        <v/>
      </c>
      <c r="Z10" s="8" t="str">
        <f t="shared" ref="Z10" si="27">IF(TEXT(Z12,"m월")=TEXT(Y12,"m월"),"",LOWER(TEXT(Z12,"m월")))</f>
        <v/>
      </c>
      <c r="AA10" s="8" t="str">
        <f t="shared" ref="AA10" si="28">IF(TEXT(AA12,"m월")=TEXT(Z12,"m월"),"",LOWER(TEXT(AA12,"m월")))</f>
        <v/>
      </c>
      <c r="AB10" s="8" t="str">
        <f t="shared" ref="AB10" si="29">IF(TEXT(AB12,"m월")=TEXT(AA12,"m월"),"",LOWER(TEXT(AB12,"m월")))</f>
        <v/>
      </c>
      <c r="AC10" s="8" t="str">
        <f t="shared" ref="AC10" si="30">IF(TEXT(AC12,"m월")=TEXT(AB12,"m월"),"",LOWER(TEXT(AC12,"m월")))</f>
        <v/>
      </c>
      <c r="AD10" s="8" t="str">
        <f t="shared" ref="AD10" si="31">IF(TEXT(AD12,"m월")=TEXT(AC12,"m월"),"",LOWER(TEXT(AD12,"m월")))</f>
        <v/>
      </c>
    </row>
    <row r="11" spans="2:30" s="1" customFormat="1" ht="30" customHeight="1">
      <c r="B11" s="13"/>
      <c r="C11" s="9" t="str">
        <f>LOWER(TEXT(C12,"aaa"))</f>
        <v>화</v>
      </c>
      <c r="D11" s="9" t="str">
        <f t="shared" ref="D11:AD11" si="32">LOWER(TEXT(D12,"aaa"))</f>
        <v>수</v>
      </c>
      <c r="E11" s="9" t="str">
        <f t="shared" si="32"/>
        <v>목</v>
      </c>
      <c r="F11" s="9" t="str">
        <f t="shared" si="32"/>
        <v>금</v>
      </c>
      <c r="G11" s="9" t="str">
        <f t="shared" si="32"/>
        <v>토</v>
      </c>
      <c r="H11" s="9" t="str">
        <f t="shared" si="32"/>
        <v>일</v>
      </c>
      <c r="I11" s="9" t="str">
        <f t="shared" si="32"/>
        <v>월</v>
      </c>
      <c r="J11" s="10" t="str">
        <f t="shared" si="32"/>
        <v>화</v>
      </c>
      <c r="K11" s="10" t="str">
        <f t="shared" si="32"/>
        <v>수</v>
      </c>
      <c r="L11" s="10" t="str">
        <f t="shared" si="32"/>
        <v>목</v>
      </c>
      <c r="M11" s="10" t="str">
        <f t="shared" si="32"/>
        <v>금</v>
      </c>
      <c r="N11" s="10" t="str">
        <f t="shared" si="32"/>
        <v>토</v>
      </c>
      <c r="O11" s="10" t="str">
        <f t="shared" si="32"/>
        <v>일</v>
      </c>
      <c r="P11" s="10" t="str">
        <f t="shared" si="32"/>
        <v>월</v>
      </c>
      <c r="Q11" s="9" t="str">
        <f t="shared" si="32"/>
        <v>화</v>
      </c>
      <c r="R11" s="9" t="str">
        <f t="shared" si="32"/>
        <v>수</v>
      </c>
      <c r="S11" s="9" t="str">
        <f t="shared" si="32"/>
        <v>목</v>
      </c>
      <c r="T11" s="9" t="str">
        <f t="shared" si="32"/>
        <v>금</v>
      </c>
      <c r="U11" s="9" t="str">
        <f t="shared" si="32"/>
        <v>토</v>
      </c>
      <c r="V11" s="9" t="str">
        <f t="shared" si="32"/>
        <v>일</v>
      </c>
      <c r="W11" s="9" t="str">
        <f t="shared" si="32"/>
        <v>월</v>
      </c>
      <c r="X11" s="10" t="str">
        <f t="shared" si="32"/>
        <v>화</v>
      </c>
      <c r="Y11" s="10" t="str">
        <f t="shared" si="32"/>
        <v>수</v>
      </c>
      <c r="Z11" s="10" t="str">
        <f t="shared" si="32"/>
        <v>목</v>
      </c>
      <c r="AA11" s="10" t="str">
        <f t="shared" si="32"/>
        <v>금</v>
      </c>
      <c r="AB11" s="10" t="str">
        <f t="shared" si="32"/>
        <v>토</v>
      </c>
      <c r="AC11" s="10" t="str">
        <f t="shared" si="32"/>
        <v>일</v>
      </c>
      <c r="AD11" s="10" t="str">
        <f t="shared" si="32"/>
        <v>월</v>
      </c>
    </row>
    <row r="12" spans="2:30" s="1" customFormat="1" ht="30" customHeight="1" thickBot="1">
      <c r="B12" s="13"/>
      <c r="C12" s="11">
        <f>AD6+1</f>
        <v>46294</v>
      </c>
      <c r="D12" s="11">
        <f>C12+1</f>
        <v>46295</v>
      </c>
      <c r="E12" s="11">
        <f t="shared" ref="E12" si="33">D12+1</f>
        <v>46296</v>
      </c>
      <c r="F12" s="11">
        <f t="shared" ref="F12" si="34">E12+1</f>
        <v>46297</v>
      </c>
      <c r="G12" s="11">
        <f t="shared" ref="G12" si="35">F12+1</f>
        <v>46298</v>
      </c>
      <c r="H12" s="11">
        <f t="shared" ref="H12" si="36">G12+1</f>
        <v>46299</v>
      </c>
      <c r="I12" s="11">
        <f t="shared" ref="I12" si="37">H12+1</f>
        <v>46300</v>
      </c>
      <c r="J12" s="12">
        <f t="shared" ref="J12" si="38">I12+1</f>
        <v>46301</v>
      </c>
      <c r="K12" s="12">
        <f t="shared" ref="K12" si="39">J12+1</f>
        <v>46302</v>
      </c>
      <c r="L12" s="12">
        <f t="shared" ref="L12" si="40">K12+1</f>
        <v>46303</v>
      </c>
      <c r="M12" s="12">
        <f t="shared" ref="M12" si="41">L12+1</f>
        <v>46304</v>
      </c>
      <c r="N12" s="12">
        <f t="shared" ref="N12" si="42">M12+1</f>
        <v>46305</v>
      </c>
      <c r="O12" s="12">
        <f t="shared" ref="O12" si="43">N12+1</f>
        <v>46306</v>
      </c>
      <c r="P12" s="12">
        <f t="shared" ref="P12" si="44">O12+1</f>
        <v>46307</v>
      </c>
      <c r="Q12" s="11">
        <f t="shared" ref="Q12" si="45">P12+1</f>
        <v>46308</v>
      </c>
      <c r="R12" s="11">
        <f t="shared" ref="R12" si="46">Q12+1</f>
        <v>46309</v>
      </c>
      <c r="S12" s="11">
        <f t="shared" ref="S12" si="47">R12+1</f>
        <v>46310</v>
      </c>
      <c r="T12" s="11">
        <f t="shared" ref="T12" si="48">S12+1</f>
        <v>46311</v>
      </c>
      <c r="U12" s="11">
        <f t="shared" ref="U12" si="49">T12+1</f>
        <v>46312</v>
      </c>
      <c r="V12" s="11">
        <f t="shared" ref="V12" si="50">U12+1</f>
        <v>46313</v>
      </c>
      <c r="W12" s="11">
        <f t="shared" ref="W12" si="51">V12+1</f>
        <v>46314</v>
      </c>
      <c r="X12" s="12">
        <f t="shared" ref="X12" si="52">W12+1</f>
        <v>46315</v>
      </c>
      <c r="Y12" s="12">
        <f t="shared" ref="Y12" si="53">X12+1</f>
        <v>46316</v>
      </c>
      <c r="Z12" s="12">
        <f t="shared" ref="Z12" si="54">Y12+1</f>
        <v>46317</v>
      </c>
      <c r="AA12" s="12">
        <f t="shared" ref="AA12" si="55">Z12+1</f>
        <v>46318</v>
      </c>
      <c r="AB12" s="12">
        <f t="shared" ref="AB12" si="56">AA12+1</f>
        <v>46319</v>
      </c>
      <c r="AC12" s="12">
        <f t="shared" ref="AC12" si="57">AB12+1</f>
        <v>46320</v>
      </c>
      <c r="AD12" s="12">
        <f t="shared" ref="AD12" si="58">AC12+1</f>
        <v>46321</v>
      </c>
    </row>
    <row r="13" spans="2:30" s="1" customFormat="1" ht="30" customHeight="1" thickBot="1">
      <c r="B13" s="32" t="s">
        <v>32</v>
      </c>
      <c r="C13" s="26" t="s">
        <v>17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4" t="s">
        <v>18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2:30" s="1" customFormat="1" ht="30" customHeight="1" thickBot="1">
      <c r="B14" s="32" t="s">
        <v>33</v>
      </c>
      <c r="C14" s="26" t="s">
        <v>27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31" t="s">
        <v>28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2:30" s="1" customFormat="1" ht="30" customHeight="1">
      <c r="B15" s="32" t="s">
        <v>34</v>
      </c>
      <c r="C15" s="19" t="s">
        <v>10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5" t="s">
        <v>11</v>
      </c>
      <c r="R15" s="15"/>
      <c r="S15" s="15"/>
      <c r="T15" s="15"/>
      <c r="U15" s="15"/>
      <c r="V15" s="15"/>
      <c r="W15" s="15"/>
      <c r="X15" s="16" t="s">
        <v>12</v>
      </c>
      <c r="Y15" s="16"/>
      <c r="Z15" s="16"/>
      <c r="AA15" s="16"/>
      <c r="AB15" s="16"/>
      <c r="AC15" s="16"/>
      <c r="AD15" s="16"/>
    </row>
    <row r="16" spans="2:30" s="1" customFormat="1" ht="30" customHeight="1">
      <c r="B16" s="13"/>
      <c r="C16" s="6" t="str">
        <f>LOWER(TEXT(C18, "m월"))</f>
        <v>10월</v>
      </c>
      <c r="D16" s="7" t="str">
        <f t="shared" ref="D16" si="59">IF(TEXT(D18,"m월")=TEXT(C18,"m월"),"",LOWER(TEXT(D18,"m월")))</f>
        <v/>
      </c>
      <c r="E16" s="7" t="str">
        <f t="shared" ref="E16" si="60">IF(TEXT(E18,"m월")=TEXT(D18,"m월"),"",LOWER(TEXT(E18,"m월")))</f>
        <v/>
      </c>
      <c r="F16" s="7" t="str">
        <f t="shared" ref="F16" si="61">IF(TEXT(F18,"m월")=TEXT(E18,"m월"),"",LOWER(TEXT(F18,"m월")))</f>
        <v/>
      </c>
      <c r="G16" s="7" t="str">
        <f t="shared" ref="G16" si="62">IF(TEXT(G18,"m월")=TEXT(F18,"m월"),"",LOWER(TEXT(G18,"m월")))</f>
        <v/>
      </c>
      <c r="H16" s="7" t="str">
        <f t="shared" ref="H16" si="63">IF(TEXT(H18,"m월")=TEXT(G18,"m월"),"",LOWER(TEXT(H18,"m월")))</f>
        <v>11월</v>
      </c>
      <c r="I16" s="7" t="str">
        <f>IF(TEXT(I18,"m월")=TEXT(H18,"m월"),"",LOWER(TEXT(I18,"m월")))</f>
        <v/>
      </c>
      <c r="J16" s="8" t="str">
        <f>LOWER(TEXT(J18,"m월"))</f>
        <v>11월</v>
      </c>
      <c r="K16" s="8" t="str">
        <f t="shared" ref="K16" si="64">IF(TEXT(K18,"m월")=TEXT(J18,"m월"),"",LOWER(TEXT(K18,"m월")))</f>
        <v/>
      </c>
      <c r="L16" s="8" t="str">
        <f t="shared" ref="L16" si="65">IF(TEXT(L18,"m월")=TEXT(K18,"m월"),"",LOWER(TEXT(L18,"m월")))</f>
        <v/>
      </c>
      <c r="M16" s="8" t="str">
        <f t="shared" ref="M16" si="66">IF(TEXT(M18,"m월")=TEXT(L18,"m월"),"",LOWER(TEXT(M18,"m월")))</f>
        <v/>
      </c>
      <c r="N16" s="8" t="str">
        <f t="shared" ref="N16" si="67">IF(TEXT(N18,"m월")=TEXT(M18,"m월"),"",LOWER(TEXT(N18,"m월")))</f>
        <v/>
      </c>
      <c r="O16" s="8" t="str">
        <f t="shared" ref="O16" si="68">IF(TEXT(O18,"m월")=TEXT(N18,"m월"),"",LOWER(TEXT(O18,"m월")))</f>
        <v/>
      </c>
      <c r="P16" s="8" t="str">
        <f>IF(TEXT(P18,"m월")=TEXT(O18,"m월"),"",LOWER(TEXT(P18,"m월")))</f>
        <v/>
      </c>
      <c r="Q16" s="7" t="str">
        <f>LOWER(TEXT(Q18,"m월"))</f>
        <v>11월</v>
      </c>
      <c r="R16" s="7" t="str">
        <f t="shared" ref="R16" si="69">IF(TEXT(R18,"m월")=TEXT(Q18,"m월"),"",LOWER(TEXT(R18,"m월")))</f>
        <v/>
      </c>
      <c r="S16" s="7" t="str">
        <f t="shared" ref="S16" si="70">IF(TEXT(S18,"m월")=TEXT(R18,"m월"),"",LOWER(TEXT(S18,"m월")))</f>
        <v/>
      </c>
      <c r="T16" s="7" t="str">
        <f t="shared" ref="T16" si="71">IF(TEXT(T18,"m월")=TEXT(S18,"m월"),"",LOWER(TEXT(T18,"m월")))</f>
        <v/>
      </c>
      <c r="U16" s="7" t="str">
        <f t="shared" ref="U16" si="72">IF(TEXT(U18,"m월")=TEXT(T18,"m월"),"",LOWER(TEXT(U18,"m월")))</f>
        <v/>
      </c>
      <c r="V16" s="7" t="str">
        <f t="shared" ref="V16" si="73">IF(TEXT(V18,"m월")=TEXT(U18,"m월"),"",LOWER(TEXT(V18,"m월")))</f>
        <v/>
      </c>
      <c r="W16" s="7" t="str">
        <f t="shared" ref="W16" si="74">IF(TEXT(W18,"m월")=TEXT(V18,"m월"),"",LOWER(TEXT(W18,"m월")))</f>
        <v/>
      </c>
      <c r="X16" s="8" t="str">
        <f>LOWER(TEXT(X18,"m월"))</f>
        <v>11월</v>
      </c>
      <c r="Y16" s="8" t="str">
        <f t="shared" ref="Y16" si="75">IF(TEXT(Y18,"m월")=TEXT(X18,"m월"),"",LOWER(TEXT(Y18,"m월")))</f>
        <v/>
      </c>
      <c r="Z16" s="8" t="str">
        <f t="shared" ref="Z16" si="76">IF(TEXT(Z18,"m월")=TEXT(Y18,"m월"),"",LOWER(TEXT(Z18,"m월")))</f>
        <v/>
      </c>
      <c r="AA16" s="8" t="str">
        <f t="shared" ref="AA16" si="77">IF(TEXT(AA18,"m월")=TEXT(Z18,"m월"),"",LOWER(TEXT(AA18,"m월")))</f>
        <v/>
      </c>
      <c r="AB16" s="8" t="str">
        <f t="shared" ref="AB16" si="78">IF(TEXT(AB18,"m월")=TEXT(AA18,"m월"),"",LOWER(TEXT(AB18,"m월")))</f>
        <v/>
      </c>
      <c r="AC16" s="8" t="str">
        <f t="shared" ref="AC16" si="79">IF(TEXT(AC18,"m월")=TEXT(AB18,"m월"),"",LOWER(TEXT(AC18,"m월")))</f>
        <v/>
      </c>
      <c r="AD16" s="8" t="str">
        <f t="shared" ref="AD16" si="80">IF(TEXT(AD18,"m월")=TEXT(AC18,"m월"),"",LOWER(TEXT(AD18,"m월")))</f>
        <v/>
      </c>
    </row>
    <row r="17" spans="2:30" s="1" customFormat="1" ht="30" customHeight="1">
      <c r="B17" s="13"/>
      <c r="C17" s="9" t="str">
        <f>LOWER(TEXT(C18,"aaa"))</f>
        <v>화</v>
      </c>
      <c r="D17" s="9" t="str">
        <f t="shared" ref="D17:AD17" si="81">LOWER(TEXT(D18,"aaa"))</f>
        <v>수</v>
      </c>
      <c r="E17" s="9" t="str">
        <f t="shared" si="81"/>
        <v>목</v>
      </c>
      <c r="F17" s="9" t="str">
        <f t="shared" si="81"/>
        <v>금</v>
      </c>
      <c r="G17" s="9" t="str">
        <f t="shared" si="81"/>
        <v>토</v>
      </c>
      <c r="H17" s="9" t="str">
        <f t="shared" si="81"/>
        <v>일</v>
      </c>
      <c r="I17" s="9" t="str">
        <f t="shared" si="81"/>
        <v>월</v>
      </c>
      <c r="J17" s="10" t="str">
        <f t="shared" si="81"/>
        <v>화</v>
      </c>
      <c r="K17" s="10" t="str">
        <f t="shared" si="81"/>
        <v>수</v>
      </c>
      <c r="L17" s="10" t="str">
        <f t="shared" si="81"/>
        <v>목</v>
      </c>
      <c r="M17" s="10" t="str">
        <f t="shared" si="81"/>
        <v>금</v>
      </c>
      <c r="N17" s="10" t="str">
        <f t="shared" si="81"/>
        <v>토</v>
      </c>
      <c r="O17" s="10" t="str">
        <f t="shared" si="81"/>
        <v>일</v>
      </c>
      <c r="P17" s="10" t="str">
        <f t="shared" si="81"/>
        <v>월</v>
      </c>
      <c r="Q17" s="9" t="str">
        <f t="shared" si="81"/>
        <v>화</v>
      </c>
      <c r="R17" s="9" t="str">
        <f t="shared" si="81"/>
        <v>수</v>
      </c>
      <c r="S17" s="9" t="str">
        <f t="shared" si="81"/>
        <v>목</v>
      </c>
      <c r="T17" s="9" t="str">
        <f t="shared" si="81"/>
        <v>금</v>
      </c>
      <c r="U17" s="9" t="str">
        <f t="shared" si="81"/>
        <v>토</v>
      </c>
      <c r="V17" s="9" t="str">
        <f t="shared" si="81"/>
        <v>일</v>
      </c>
      <c r="W17" s="9" t="str">
        <f t="shared" si="81"/>
        <v>월</v>
      </c>
      <c r="X17" s="10" t="str">
        <f t="shared" si="81"/>
        <v>화</v>
      </c>
      <c r="Y17" s="10" t="str">
        <f t="shared" si="81"/>
        <v>수</v>
      </c>
      <c r="Z17" s="10" t="str">
        <f t="shared" si="81"/>
        <v>목</v>
      </c>
      <c r="AA17" s="10" t="str">
        <f t="shared" si="81"/>
        <v>금</v>
      </c>
      <c r="AB17" s="10" t="str">
        <f t="shared" si="81"/>
        <v>토</v>
      </c>
      <c r="AC17" s="10" t="str">
        <f t="shared" si="81"/>
        <v>일</v>
      </c>
      <c r="AD17" s="10" t="str">
        <f t="shared" si="81"/>
        <v>월</v>
      </c>
    </row>
    <row r="18" spans="2:30" s="1" customFormat="1" ht="30" customHeight="1" thickBot="1">
      <c r="B18" s="13"/>
      <c r="C18" s="11">
        <f>AD12+1</f>
        <v>46322</v>
      </c>
      <c r="D18" s="11">
        <f>C18+1</f>
        <v>46323</v>
      </c>
      <c r="E18" s="11">
        <f t="shared" ref="E18" si="82">D18+1</f>
        <v>46324</v>
      </c>
      <c r="F18" s="11">
        <f t="shared" ref="F18" si="83">E18+1</f>
        <v>46325</v>
      </c>
      <c r="G18" s="11">
        <f t="shared" ref="G18" si="84">F18+1</f>
        <v>46326</v>
      </c>
      <c r="H18" s="11">
        <f t="shared" ref="H18" si="85">G18+1</f>
        <v>46327</v>
      </c>
      <c r="I18" s="11">
        <f>H18+1</f>
        <v>46328</v>
      </c>
      <c r="J18" s="12">
        <f t="shared" ref="J18" si="86">I18+1</f>
        <v>46329</v>
      </c>
      <c r="K18" s="12">
        <f t="shared" ref="K18" si="87">J18+1</f>
        <v>46330</v>
      </c>
      <c r="L18" s="12">
        <f t="shared" ref="L18" si="88">K18+1</f>
        <v>46331</v>
      </c>
      <c r="M18" s="12">
        <f t="shared" ref="M18" si="89">L18+1</f>
        <v>46332</v>
      </c>
      <c r="N18" s="12">
        <f t="shared" ref="N18" si="90">M18+1</f>
        <v>46333</v>
      </c>
      <c r="O18" s="12">
        <f t="shared" ref="O18" si="91">N18+1</f>
        <v>46334</v>
      </c>
      <c r="P18" s="12">
        <f>O18+1</f>
        <v>46335</v>
      </c>
      <c r="Q18" s="11">
        <f t="shared" ref="Q18" si="92">P18+1</f>
        <v>46336</v>
      </c>
      <c r="R18" s="11">
        <f t="shared" ref="R18" si="93">Q18+1</f>
        <v>46337</v>
      </c>
      <c r="S18" s="11">
        <f t="shared" ref="S18" si="94">R18+1</f>
        <v>46338</v>
      </c>
      <c r="T18" s="11">
        <f t="shared" ref="T18" si="95">S18+1</f>
        <v>46339</v>
      </c>
      <c r="U18" s="11">
        <f t="shared" ref="U18" si="96">T18+1</f>
        <v>46340</v>
      </c>
      <c r="V18" s="11">
        <f t="shared" ref="V18" si="97">U18+1</f>
        <v>46341</v>
      </c>
      <c r="W18" s="11">
        <f t="shared" ref="W18" si="98">V18+1</f>
        <v>46342</v>
      </c>
      <c r="X18" s="12">
        <f t="shared" ref="X18" si="99">W18+1</f>
        <v>46343</v>
      </c>
      <c r="Y18" s="12">
        <f t="shared" ref="Y18" si="100">X18+1</f>
        <v>46344</v>
      </c>
      <c r="Z18" s="12">
        <f t="shared" ref="Z18" si="101">Y18+1</f>
        <v>46345</v>
      </c>
      <c r="AA18" s="12">
        <f t="shared" ref="AA18" si="102">Z18+1</f>
        <v>46346</v>
      </c>
      <c r="AB18" s="12">
        <f t="shared" ref="AB18" si="103">AA18+1</f>
        <v>46347</v>
      </c>
      <c r="AC18" s="12">
        <f t="shared" ref="AC18" si="104">AB18+1</f>
        <v>46348</v>
      </c>
      <c r="AD18" s="12">
        <f t="shared" ref="AD18" si="105">AC18+1</f>
        <v>46349</v>
      </c>
    </row>
    <row r="19" spans="2:30" s="1" customFormat="1" ht="30" customHeight="1" thickBot="1">
      <c r="B19" s="32" t="s">
        <v>32</v>
      </c>
      <c r="C19" s="17" t="s">
        <v>19</v>
      </c>
      <c r="D19" s="17"/>
      <c r="E19" s="17"/>
      <c r="F19" s="17"/>
      <c r="G19" s="17"/>
      <c r="H19" s="17"/>
      <c r="I19" s="17"/>
      <c r="J19" s="18" t="s">
        <v>20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20" t="s">
        <v>21</v>
      </c>
      <c r="Y19" s="20"/>
      <c r="Z19" s="20"/>
      <c r="AA19" s="20"/>
      <c r="AB19" s="20"/>
      <c r="AC19" s="20"/>
      <c r="AD19" s="20"/>
    </row>
    <row r="20" spans="2:30" s="1" customFormat="1" ht="30" customHeight="1" thickBot="1">
      <c r="B20" s="32" t="s">
        <v>33</v>
      </c>
      <c r="C20" s="17" t="s">
        <v>29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 t="s">
        <v>30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2:30" s="1" customFormat="1" ht="30" customHeight="1">
      <c r="B21" s="32" t="s">
        <v>34</v>
      </c>
      <c r="C21" s="17" t="s">
        <v>13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 t="s">
        <v>14</v>
      </c>
      <c r="R21" s="18"/>
      <c r="S21" s="18"/>
      <c r="T21" s="18"/>
      <c r="U21" s="18"/>
      <c r="V21" s="18"/>
      <c r="W21" s="18"/>
      <c r="X21" s="20" t="s">
        <v>7</v>
      </c>
      <c r="Y21" s="20"/>
      <c r="Z21" s="20"/>
      <c r="AA21" s="20"/>
      <c r="AB21" s="20"/>
      <c r="AC21" s="20"/>
      <c r="AD21" s="20"/>
    </row>
    <row r="22" spans="2:30" s="1" customFormat="1" ht="30" customHeight="1">
      <c r="B22" s="13"/>
      <c r="C22" s="6" t="str">
        <f>LOWER(TEXT(C24, "m월"))</f>
        <v>11월</v>
      </c>
      <c r="D22" s="7" t="str">
        <f t="shared" ref="D22" si="106">IF(TEXT(D24,"m월")=TEXT(C24,"m월"),"",LOWER(TEXT(D24,"m월")))</f>
        <v/>
      </c>
      <c r="E22" s="7" t="str">
        <f t="shared" ref="E22" si="107">IF(TEXT(E24,"m월")=TEXT(D24,"m월"),"",LOWER(TEXT(E24,"m월")))</f>
        <v/>
      </c>
      <c r="F22" s="7" t="str">
        <f t="shared" ref="F22" si="108">IF(TEXT(F24,"m월")=TEXT(E24,"m월"),"",LOWER(TEXT(F24,"m월")))</f>
        <v/>
      </c>
      <c r="G22" s="7" t="str">
        <f t="shared" ref="G22" si="109">IF(TEXT(G24,"m월")=TEXT(F24,"m월"),"",LOWER(TEXT(G24,"m월")))</f>
        <v/>
      </c>
      <c r="H22" s="7" t="str">
        <f t="shared" ref="H22" si="110">IF(TEXT(H24,"m월")=TEXT(G24,"m월"),"",LOWER(TEXT(H24,"m월")))</f>
        <v/>
      </c>
      <c r="I22" s="7" t="str">
        <f>IF(TEXT(I24,"m월")=TEXT(H24,"m월"),"",LOWER(TEXT(I24,"m월")))</f>
        <v/>
      </c>
      <c r="J22" s="8" t="str">
        <f>LOWER(TEXT(J24,"m월"))</f>
        <v>12월</v>
      </c>
      <c r="K22" s="8" t="str">
        <f t="shared" ref="K22" si="111">IF(TEXT(K24,"m월")=TEXT(J24,"m월"),"",LOWER(TEXT(K24,"m월")))</f>
        <v/>
      </c>
      <c r="L22" s="8" t="str">
        <f t="shared" ref="L22" si="112">IF(TEXT(L24,"m월")=TEXT(K24,"m월"),"",LOWER(TEXT(L24,"m월")))</f>
        <v/>
      </c>
      <c r="M22" s="8" t="str">
        <f t="shared" ref="M22" si="113">IF(TEXT(M24,"m월")=TEXT(L24,"m월"),"",LOWER(TEXT(M24,"m월")))</f>
        <v/>
      </c>
      <c r="N22" s="8" t="str">
        <f t="shared" ref="N22" si="114">IF(TEXT(N24,"m월")=TEXT(M24,"m월"),"",LOWER(TEXT(N24,"m월")))</f>
        <v/>
      </c>
      <c r="O22" s="8" t="str">
        <f t="shared" ref="O22" si="115">IF(TEXT(O24,"m월")=TEXT(N24,"m월"),"",LOWER(TEXT(O24,"m월")))</f>
        <v/>
      </c>
      <c r="P22" s="8" t="str">
        <f>IF(TEXT(P24,"m월")=TEXT(O24,"m월"),"",LOWER(TEXT(P24,"m월")))</f>
        <v/>
      </c>
      <c r="Q22" s="7" t="str">
        <f>LOWER(TEXT(Q24,"m월"))</f>
        <v>12월</v>
      </c>
      <c r="R22" s="7" t="str">
        <f t="shared" ref="R22" si="116">IF(TEXT(R24,"m월")=TEXT(Q24,"m월"),"",LOWER(TEXT(R24,"m월")))</f>
        <v/>
      </c>
      <c r="S22" s="7" t="str">
        <f t="shared" ref="S22" si="117">IF(TEXT(S24,"m월")=TEXT(R24,"m월"),"",LOWER(TEXT(S24,"m월")))</f>
        <v/>
      </c>
      <c r="T22" s="7" t="str">
        <f t="shared" ref="T22" si="118">IF(TEXT(T24,"m월")=TEXT(S24,"m월"),"",LOWER(TEXT(T24,"m월")))</f>
        <v/>
      </c>
      <c r="U22" s="7" t="str">
        <f t="shared" ref="U22" si="119">IF(TEXT(U24,"m월")=TEXT(T24,"m월"),"",LOWER(TEXT(U24,"m월")))</f>
        <v/>
      </c>
      <c r="V22" s="7" t="str">
        <f t="shared" ref="V22" si="120">IF(TEXT(V24,"m월")=TEXT(U24,"m월"),"",LOWER(TEXT(V24,"m월")))</f>
        <v/>
      </c>
      <c r="W22" s="7" t="str">
        <f t="shared" ref="W22" si="121">IF(TEXT(W24,"m월")=TEXT(V24,"m월"),"",LOWER(TEXT(W24,"m월")))</f>
        <v/>
      </c>
      <c r="X22" s="8" t="str">
        <f>LOWER(TEXT(X24,"m월"))</f>
        <v>12월</v>
      </c>
      <c r="Y22" s="8" t="str">
        <f t="shared" ref="Y22" si="122">IF(TEXT(Y24,"m월")=TEXT(X24,"m월"),"",LOWER(TEXT(Y24,"m월")))</f>
        <v/>
      </c>
      <c r="Z22" s="8" t="str">
        <f t="shared" ref="Z22" si="123">IF(TEXT(Z24,"m월")=TEXT(Y24,"m월"),"",LOWER(TEXT(Z24,"m월")))</f>
        <v/>
      </c>
      <c r="AA22" s="8" t="str">
        <f t="shared" ref="AA22" si="124">IF(TEXT(AA24,"m월")=TEXT(Z24,"m월"),"",LOWER(TEXT(AA24,"m월")))</f>
        <v/>
      </c>
      <c r="AB22" s="8" t="str">
        <f t="shared" ref="AB22" si="125">IF(TEXT(AB24,"m월")=TEXT(AA24,"m월"),"",LOWER(TEXT(AB24,"m월")))</f>
        <v/>
      </c>
      <c r="AC22" s="8" t="str">
        <f t="shared" ref="AC22" si="126">IF(TEXT(AC24,"m월")=TEXT(AB24,"m월"),"",LOWER(TEXT(AC24,"m월")))</f>
        <v/>
      </c>
      <c r="AD22" s="8" t="str">
        <f t="shared" ref="AD22" si="127">IF(TEXT(AD24,"m월")=TEXT(AC24,"m월"),"",LOWER(TEXT(AD24,"m월")))</f>
        <v/>
      </c>
    </row>
    <row r="23" spans="2:30" s="1" customFormat="1" ht="30" customHeight="1">
      <c r="B23" s="13"/>
      <c r="C23" s="9" t="str">
        <f>LOWER(TEXT(C24,"aaa"))</f>
        <v>화</v>
      </c>
      <c r="D23" s="9" t="str">
        <f t="shared" ref="D23:AD23" si="128">LOWER(TEXT(D24,"aaa"))</f>
        <v>수</v>
      </c>
      <c r="E23" s="9" t="str">
        <f t="shared" si="128"/>
        <v>목</v>
      </c>
      <c r="F23" s="9" t="str">
        <f t="shared" si="128"/>
        <v>금</v>
      </c>
      <c r="G23" s="9" t="str">
        <f t="shared" si="128"/>
        <v>토</v>
      </c>
      <c r="H23" s="9" t="str">
        <f t="shared" si="128"/>
        <v>일</v>
      </c>
      <c r="I23" s="9" t="str">
        <f t="shared" si="128"/>
        <v>월</v>
      </c>
      <c r="J23" s="10" t="str">
        <f t="shared" si="128"/>
        <v>화</v>
      </c>
      <c r="K23" s="10" t="str">
        <f t="shared" si="128"/>
        <v>수</v>
      </c>
      <c r="L23" s="10" t="str">
        <f t="shared" si="128"/>
        <v>목</v>
      </c>
      <c r="M23" s="10" t="str">
        <f t="shared" si="128"/>
        <v>금</v>
      </c>
      <c r="N23" s="10" t="str">
        <f t="shared" si="128"/>
        <v>토</v>
      </c>
      <c r="O23" s="10" t="str">
        <f t="shared" si="128"/>
        <v>일</v>
      </c>
      <c r="P23" s="10" t="str">
        <f t="shared" si="128"/>
        <v>월</v>
      </c>
      <c r="Q23" s="9" t="str">
        <f t="shared" si="128"/>
        <v>화</v>
      </c>
      <c r="R23" s="9" t="str">
        <f t="shared" si="128"/>
        <v>수</v>
      </c>
      <c r="S23" s="9" t="str">
        <f t="shared" si="128"/>
        <v>목</v>
      </c>
      <c r="T23" s="9" t="str">
        <f t="shared" si="128"/>
        <v>금</v>
      </c>
      <c r="U23" s="9" t="str">
        <f t="shared" si="128"/>
        <v>토</v>
      </c>
      <c r="V23" s="9" t="str">
        <f t="shared" si="128"/>
        <v>일</v>
      </c>
      <c r="W23" s="9" t="str">
        <f t="shared" si="128"/>
        <v>월</v>
      </c>
      <c r="X23" s="10" t="str">
        <f t="shared" si="128"/>
        <v>화</v>
      </c>
      <c r="Y23" s="10" t="str">
        <f t="shared" si="128"/>
        <v>수</v>
      </c>
      <c r="Z23" s="10" t="str">
        <f t="shared" si="128"/>
        <v>목</v>
      </c>
      <c r="AA23" s="10" t="str">
        <f t="shared" si="128"/>
        <v>금</v>
      </c>
      <c r="AB23" s="10" t="str">
        <f t="shared" si="128"/>
        <v>토</v>
      </c>
      <c r="AC23" s="10" t="str">
        <f t="shared" si="128"/>
        <v>일</v>
      </c>
      <c r="AD23" s="10" t="str">
        <f t="shared" si="128"/>
        <v>월</v>
      </c>
    </row>
    <row r="24" spans="2:30" s="1" customFormat="1" ht="30" customHeight="1" thickBot="1">
      <c r="B24" s="13"/>
      <c r="C24" s="11">
        <f>AD18+1</f>
        <v>46350</v>
      </c>
      <c r="D24" s="11">
        <f>C24+1</f>
        <v>46351</v>
      </c>
      <c r="E24" s="11">
        <f t="shared" ref="E24" si="129">D24+1</f>
        <v>46352</v>
      </c>
      <c r="F24" s="11">
        <f t="shared" ref="F24" si="130">E24+1</f>
        <v>46353</v>
      </c>
      <c r="G24" s="11">
        <f t="shared" ref="G24" si="131">F24+1</f>
        <v>46354</v>
      </c>
      <c r="H24" s="11">
        <f t="shared" ref="H24" si="132">G24+1</f>
        <v>46355</v>
      </c>
      <c r="I24" s="11">
        <f>H24+1</f>
        <v>46356</v>
      </c>
      <c r="J24" s="12">
        <f t="shared" ref="J24" si="133">I24+1</f>
        <v>46357</v>
      </c>
      <c r="K24" s="12">
        <f t="shared" ref="K24" si="134">J24+1</f>
        <v>46358</v>
      </c>
      <c r="L24" s="12">
        <f t="shared" ref="L24" si="135">K24+1</f>
        <v>46359</v>
      </c>
      <c r="M24" s="12">
        <f t="shared" ref="M24" si="136">L24+1</f>
        <v>46360</v>
      </c>
      <c r="N24" s="12">
        <f t="shared" ref="N24" si="137">M24+1</f>
        <v>46361</v>
      </c>
      <c r="O24" s="12">
        <f t="shared" ref="O24" si="138">N24+1</f>
        <v>46362</v>
      </c>
      <c r="P24" s="12">
        <f>O24+1</f>
        <v>46363</v>
      </c>
      <c r="Q24" s="11">
        <f t="shared" ref="Q24" si="139">P24+1</f>
        <v>46364</v>
      </c>
      <c r="R24" s="11">
        <f t="shared" ref="R24" si="140">Q24+1</f>
        <v>46365</v>
      </c>
      <c r="S24" s="11">
        <f t="shared" ref="S24" si="141">R24+1</f>
        <v>46366</v>
      </c>
      <c r="T24" s="11">
        <f t="shared" ref="T24" si="142">S24+1</f>
        <v>46367</v>
      </c>
      <c r="U24" s="11">
        <f t="shared" ref="U24" si="143">T24+1</f>
        <v>46368</v>
      </c>
      <c r="V24" s="11">
        <f t="shared" ref="V24" si="144">U24+1</f>
        <v>46369</v>
      </c>
      <c r="W24" s="11">
        <f t="shared" ref="W24" si="145">V24+1</f>
        <v>46370</v>
      </c>
      <c r="X24" s="12">
        <f t="shared" ref="X24" si="146">W24+1</f>
        <v>46371</v>
      </c>
      <c r="Y24" s="12">
        <f t="shared" ref="Y24" si="147">X24+1</f>
        <v>46372</v>
      </c>
      <c r="Z24" s="12">
        <f t="shared" ref="Z24" si="148">Y24+1</f>
        <v>46373</v>
      </c>
      <c r="AA24" s="12">
        <f t="shared" ref="AA24" si="149">Z24+1</f>
        <v>46374</v>
      </c>
      <c r="AB24" s="12">
        <f t="shared" ref="AB24" si="150">AA24+1</f>
        <v>46375</v>
      </c>
      <c r="AC24" s="12">
        <f t="shared" ref="AC24" si="151">AB24+1</f>
        <v>46376</v>
      </c>
      <c r="AD24" s="12">
        <f t="shared" ref="AD24" si="152">AC24+1</f>
        <v>46377</v>
      </c>
    </row>
    <row r="25" spans="2:30" s="1" customFormat="1" ht="30" customHeight="1" thickBot="1">
      <c r="B25" s="32" t="s">
        <v>32</v>
      </c>
      <c r="C25" s="18" t="s">
        <v>22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21" t="s">
        <v>23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2:30" s="1" customFormat="1" ht="30" customHeight="1" thickBot="1">
      <c r="B26" s="32" t="s">
        <v>33</v>
      </c>
      <c r="C26" s="18" t="s">
        <v>30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21" t="s">
        <v>31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2:30" s="1" customFormat="1" ht="30" customHeight="1">
      <c r="B27" s="32" t="s">
        <v>34</v>
      </c>
      <c r="C27" s="18" t="s">
        <v>6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21" t="s">
        <v>2</v>
      </c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2:30" s="1" customFormat="1" ht="30" customHeight="1">
      <c r="B28" s="13"/>
      <c r="C28" s="6" t="str">
        <f>LOWER(TEXT(C30, "m월"))</f>
        <v>12월</v>
      </c>
      <c r="D28" s="7" t="str">
        <f t="shared" ref="D28" si="153">IF(TEXT(D30,"m월")=TEXT(C30,"m월"),"",LOWER(TEXT(D30,"m월")))</f>
        <v/>
      </c>
      <c r="E28" s="7" t="str">
        <f t="shared" ref="E28" si="154">IF(TEXT(E30,"m월")=TEXT(D30,"m월"),"",LOWER(TEXT(E30,"m월")))</f>
        <v/>
      </c>
      <c r="F28" s="7" t="str">
        <f t="shared" ref="F28" si="155">IF(TEXT(F30,"m월")=TEXT(E30,"m월"),"",LOWER(TEXT(F30,"m월")))</f>
        <v/>
      </c>
      <c r="G28" s="7" t="str">
        <f t="shared" ref="G28" si="156">IF(TEXT(G30,"m월")=TEXT(F30,"m월"),"",LOWER(TEXT(G30,"m월")))</f>
        <v/>
      </c>
      <c r="H28" s="7" t="str">
        <f t="shared" ref="H28" si="157">IF(TEXT(H30,"m월")=TEXT(G30,"m월"),"",LOWER(TEXT(H30,"m월")))</f>
        <v/>
      </c>
      <c r="I28" s="7" t="str">
        <f>IF(TEXT(I30,"m월")=TEXT(H30,"m월"),"",LOWER(TEXT(I30,"m월")))</f>
        <v/>
      </c>
      <c r="J28" s="8" t="str">
        <f>LOWER(TEXT(J30,"m월"))</f>
        <v>12월</v>
      </c>
      <c r="K28" s="8" t="str">
        <f t="shared" ref="K28" si="158">IF(TEXT(K30,"m월")=TEXT(J30,"m월"),"",LOWER(TEXT(K30,"m월")))</f>
        <v/>
      </c>
      <c r="L28" s="8" t="str">
        <f t="shared" ref="L28" si="159">IF(TEXT(L30,"m월")=TEXT(K30,"m월"),"",LOWER(TEXT(L30,"m월")))</f>
        <v/>
      </c>
      <c r="M28" s="8" t="str">
        <f t="shared" ref="M28" si="160">IF(TEXT(M30,"m월")=TEXT(L30,"m월"),"",LOWER(TEXT(M30,"m월")))</f>
        <v>1월</v>
      </c>
      <c r="N28" s="8" t="str">
        <f t="shared" ref="N28" si="161">IF(TEXT(N30,"m월")=TEXT(M30,"m월"),"",LOWER(TEXT(N30,"m월")))</f>
        <v/>
      </c>
      <c r="O28" s="8" t="str">
        <f t="shared" ref="O28" si="162">IF(TEXT(O30,"m월")=TEXT(N30,"m월"),"",LOWER(TEXT(O30,"m월")))</f>
        <v/>
      </c>
      <c r="P28" s="8" t="str">
        <f>IF(TEXT(P30,"m월")=TEXT(O30,"m월"),"",LOWER(TEXT(P30,"m월")))</f>
        <v/>
      </c>
      <c r="Q28" s="7" t="str">
        <f>LOWER(TEXT(Q30,"m월"))</f>
        <v>1월</v>
      </c>
      <c r="R28" s="7" t="str">
        <f t="shared" ref="R28" si="163">IF(TEXT(R30,"m월")=TEXT(Q30,"m월"),"",LOWER(TEXT(R30,"m월")))</f>
        <v/>
      </c>
      <c r="S28" s="7" t="str">
        <f t="shared" ref="S28" si="164">IF(TEXT(S30,"m월")=TEXT(R30,"m월"),"",LOWER(TEXT(S30,"m월")))</f>
        <v/>
      </c>
      <c r="T28" s="7" t="str">
        <f t="shared" ref="T28" si="165">IF(TEXT(T30,"m월")=TEXT(S30,"m월"),"",LOWER(TEXT(T30,"m월")))</f>
        <v/>
      </c>
      <c r="U28" s="7" t="str">
        <f t="shared" ref="U28" si="166">IF(TEXT(U30,"m월")=TEXT(T30,"m월"),"",LOWER(TEXT(U30,"m월")))</f>
        <v/>
      </c>
      <c r="V28" s="7" t="str">
        <f t="shared" ref="V28" si="167">IF(TEXT(V30,"m월")=TEXT(U30,"m월"),"",LOWER(TEXT(V30,"m월")))</f>
        <v/>
      </c>
      <c r="W28" s="7" t="str">
        <f t="shared" ref="W28" si="168">IF(TEXT(W30,"m월")=TEXT(V30,"m월"),"",LOWER(TEXT(W30,"m월")))</f>
        <v/>
      </c>
      <c r="X28" s="8" t="str">
        <f>LOWER(TEXT(X30,"m월"))</f>
        <v>1월</v>
      </c>
      <c r="Y28" s="8" t="str">
        <f t="shared" ref="Y28" si="169">IF(TEXT(Y30,"m월")=TEXT(X30,"m월"),"",LOWER(TEXT(Y30,"m월")))</f>
        <v/>
      </c>
      <c r="Z28" s="8" t="str">
        <f t="shared" ref="Z28" si="170">IF(TEXT(Z30,"m월")=TEXT(Y30,"m월"),"",LOWER(TEXT(Z30,"m월")))</f>
        <v/>
      </c>
      <c r="AA28" s="8" t="str">
        <f t="shared" ref="AA28" si="171">IF(TEXT(AA30,"m월")=TEXT(Z30,"m월"),"",LOWER(TEXT(AA30,"m월")))</f>
        <v/>
      </c>
      <c r="AB28" s="8" t="str">
        <f t="shared" ref="AB28" si="172">IF(TEXT(AB30,"m월")=TEXT(AA30,"m월"),"",LOWER(TEXT(AB30,"m월")))</f>
        <v/>
      </c>
      <c r="AC28" s="8" t="str">
        <f t="shared" ref="AC28" si="173">IF(TEXT(AC30,"m월")=TEXT(AB30,"m월"),"",LOWER(TEXT(AC30,"m월")))</f>
        <v/>
      </c>
      <c r="AD28" s="8" t="str">
        <f t="shared" ref="AD28" si="174">IF(TEXT(AD30,"m월")=TEXT(AC30,"m월"),"",LOWER(TEXT(AD30,"m월")))</f>
        <v/>
      </c>
    </row>
    <row r="29" spans="2:30" s="1" customFormat="1" ht="30" customHeight="1">
      <c r="B29" s="13"/>
      <c r="C29" s="9" t="str">
        <f>LOWER(TEXT(C30,"aaa"))</f>
        <v>화</v>
      </c>
      <c r="D29" s="9" t="str">
        <f t="shared" ref="D29:AD29" si="175">LOWER(TEXT(D30,"aaa"))</f>
        <v>수</v>
      </c>
      <c r="E29" s="9" t="str">
        <f t="shared" si="175"/>
        <v>목</v>
      </c>
      <c r="F29" s="9" t="str">
        <f t="shared" si="175"/>
        <v>금</v>
      </c>
      <c r="G29" s="9" t="str">
        <f t="shared" si="175"/>
        <v>토</v>
      </c>
      <c r="H29" s="9" t="str">
        <f t="shared" si="175"/>
        <v>일</v>
      </c>
      <c r="I29" s="9" t="str">
        <f t="shared" si="175"/>
        <v>월</v>
      </c>
      <c r="J29" s="10" t="str">
        <f t="shared" si="175"/>
        <v>화</v>
      </c>
      <c r="K29" s="10" t="str">
        <f t="shared" si="175"/>
        <v>수</v>
      </c>
      <c r="L29" s="10" t="str">
        <f t="shared" si="175"/>
        <v>목</v>
      </c>
      <c r="M29" s="10" t="str">
        <f t="shared" si="175"/>
        <v>금</v>
      </c>
      <c r="N29" s="10" t="str">
        <f t="shared" si="175"/>
        <v>토</v>
      </c>
      <c r="O29" s="10" t="str">
        <f t="shared" si="175"/>
        <v>일</v>
      </c>
      <c r="P29" s="10" t="str">
        <f t="shared" si="175"/>
        <v>월</v>
      </c>
      <c r="Q29" s="9" t="str">
        <f t="shared" si="175"/>
        <v>화</v>
      </c>
      <c r="R29" s="9" t="str">
        <f t="shared" si="175"/>
        <v>수</v>
      </c>
      <c r="S29" s="9" t="str">
        <f t="shared" si="175"/>
        <v>목</v>
      </c>
      <c r="T29" s="9" t="str">
        <f t="shared" si="175"/>
        <v>금</v>
      </c>
      <c r="U29" s="9" t="str">
        <f t="shared" si="175"/>
        <v>토</v>
      </c>
      <c r="V29" s="9" t="str">
        <f t="shared" si="175"/>
        <v>일</v>
      </c>
      <c r="W29" s="9" t="str">
        <f t="shared" si="175"/>
        <v>월</v>
      </c>
      <c r="X29" s="10" t="str">
        <f t="shared" si="175"/>
        <v>화</v>
      </c>
      <c r="Y29" s="10" t="str">
        <f t="shared" si="175"/>
        <v>수</v>
      </c>
      <c r="Z29" s="10" t="str">
        <f t="shared" si="175"/>
        <v>목</v>
      </c>
      <c r="AA29" s="10" t="str">
        <f t="shared" si="175"/>
        <v>금</v>
      </c>
      <c r="AB29" s="10" t="str">
        <f t="shared" si="175"/>
        <v>토</v>
      </c>
      <c r="AC29" s="10" t="str">
        <f t="shared" si="175"/>
        <v>일</v>
      </c>
      <c r="AD29" s="10" t="str">
        <f t="shared" si="175"/>
        <v>월</v>
      </c>
    </row>
    <row r="30" spans="2:30" s="1" customFormat="1" ht="30" customHeight="1" thickBot="1">
      <c r="B30" s="13"/>
      <c r="C30" s="11">
        <f>AD24+1</f>
        <v>46378</v>
      </c>
      <c r="D30" s="11">
        <f>C30+1</f>
        <v>46379</v>
      </c>
      <c r="E30" s="11">
        <f t="shared" ref="E30" si="176">D30+1</f>
        <v>46380</v>
      </c>
      <c r="F30" s="11">
        <f t="shared" ref="F30" si="177">E30+1</f>
        <v>46381</v>
      </c>
      <c r="G30" s="11">
        <f t="shared" ref="G30" si="178">F30+1</f>
        <v>46382</v>
      </c>
      <c r="H30" s="11">
        <f t="shared" ref="H30" si="179">G30+1</f>
        <v>46383</v>
      </c>
      <c r="I30" s="11">
        <f>H30+1</f>
        <v>46384</v>
      </c>
      <c r="J30" s="12">
        <f t="shared" ref="J30" si="180">I30+1</f>
        <v>46385</v>
      </c>
      <c r="K30" s="12">
        <f t="shared" ref="K30" si="181">J30+1</f>
        <v>46386</v>
      </c>
      <c r="L30" s="12">
        <f t="shared" ref="L30" si="182">K30+1</f>
        <v>46387</v>
      </c>
      <c r="M30" s="12">
        <f t="shared" ref="M30" si="183">L30+1</f>
        <v>46388</v>
      </c>
      <c r="N30" s="12">
        <f t="shared" ref="N30" si="184">M30+1</f>
        <v>46389</v>
      </c>
      <c r="O30" s="12">
        <f t="shared" ref="O30" si="185">N30+1</f>
        <v>46390</v>
      </c>
      <c r="P30" s="12">
        <f>O30+1</f>
        <v>46391</v>
      </c>
      <c r="Q30" s="11">
        <f t="shared" ref="Q30" si="186">P30+1</f>
        <v>46392</v>
      </c>
      <c r="R30" s="11">
        <f t="shared" ref="R30" si="187">Q30+1</f>
        <v>46393</v>
      </c>
      <c r="S30" s="11">
        <f t="shared" ref="S30" si="188">R30+1</f>
        <v>46394</v>
      </c>
      <c r="T30" s="11">
        <f t="shared" ref="T30" si="189">S30+1</f>
        <v>46395</v>
      </c>
      <c r="U30" s="11">
        <f t="shared" ref="U30" si="190">T30+1</f>
        <v>46396</v>
      </c>
      <c r="V30" s="11">
        <f t="shared" ref="V30" si="191">U30+1</f>
        <v>46397</v>
      </c>
      <c r="W30" s="11">
        <f t="shared" ref="W30" si="192">V30+1</f>
        <v>46398</v>
      </c>
      <c r="X30" s="12">
        <f t="shared" ref="X30" si="193">W30+1</f>
        <v>46399</v>
      </c>
      <c r="Y30" s="12">
        <f t="shared" ref="Y30" si="194">X30+1</f>
        <v>46400</v>
      </c>
      <c r="Z30" s="12">
        <f t="shared" ref="Z30" si="195">Y30+1</f>
        <v>46401</v>
      </c>
      <c r="AA30" s="12">
        <f t="shared" ref="AA30" si="196">Z30+1</f>
        <v>46402</v>
      </c>
      <c r="AB30" s="12">
        <f t="shared" ref="AB30" si="197">AA30+1</f>
        <v>46403</v>
      </c>
      <c r="AC30" s="12">
        <f t="shared" ref="AC30" si="198">AB30+1</f>
        <v>46404</v>
      </c>
      <c r="AD30" s="12">
        <f t="shared" ref="AD30" si="199">AC30+1</f>
        <v>46405</v>
      </c>
    </row>
  </sheetData>
  <mergeCells count="32">
    <mergeCell ref="C26:P26"/>
    <mergeCell ref="Q26:AD26"/>
    <mergeCell ref="Q25:AD25"/>
    <mergeCell ref="C8:I8"/>
    <mergeCell ref="J8:P8"/>
    <mergeCell ref="Q8:AD8"/>
    <mergeCell ref="C14:P14"/>
    <mergeCell ref="Q14:AD14"/>
    <mergeCell ref="C20:P20"/>
    <mergeCell ref="Q20:AD20"/>
    <mergeCell ref="C27:P27"/>
    <mergeCell ref="Q27:AD27"/>
    <mergeCell ref="B1:AD1"/>
    <mergeCell ref="C2:E2"/>
    <mergeCell ref="C9:I9"/>
    <mergeCell ref="J9:P9"/>
    <mergeCell ref="Q9:W9"/>
    <mergeCell ref="X9:AD9"/>
    <mergeCell ref="C7:P7"/>
    <mergeCell ref="Q7:AD7"/>
    <mergeCell ref="C13:P13"/>
    <mergeCell ref="Q13:AD13"/>
    <mergeCell ref="C19:I19"/>
    <mergeCell ref="J19:W19"/>
    <mergeCell ref="X19:AD19"/>
    <mergeCell ref="C25:P25"/>
    <mergeCell ref="Q15:W15"/>
    <mergeCell ref="X15:AD15"/>
    <mergeCell ref="C21:P21"/>
    <mergeCell ref="Q21:W21"/>
    <mergeCell ref="C15:P15"/>
    <mergeCell ref="X21:AD21"/>
  </mergeCells>
  <phoneticPr fontId="20" type="noConversion"/>
  <conditionalFormatting sqref="C5:AD6">
    <cfRule type="expression" dxfId="4" priority="7">
      <formula>C$6=TODAY()</formula>
    </cfRule>
  </conditionalFormatting>
  <conditionalFormatting sqref="C11:AD12">
    <cfRule type="expression" dxfId="3" priority="6">
      <formula>C$6=TODAY()</formula>
    </cfRule>
  </conditionalFormatting>
  <conditionalFormatting sqref="C17:AD18">
    <cfRule type="expression" dxfId="2" priority="5">
      <formula>C$6=TODAY()</formula>
    </cfRule>
  </conditionalFormatting>
  <conditionalFormatting sqref="C23:AD24">
    <cfRule type="expression" dxfId="1" priority="4">
      <formula>C$6=TODAY()</formula>
    </cfRule>
  </conditionalFormatting>
  <conditionalFormatting sqref="C29:AD30">
    <cfRule type="expression" dxfId="0" priority="3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2026-09-12T14:05:18Z</dcterms:modified>
</cp:coreProperties>
</file>